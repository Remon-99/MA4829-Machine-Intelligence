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e3d942303f44d66/Desktop/Year 4 Semester 2/Machine Intelligence/Data/"/>
    </mc:Choice>
  </mc:AlternateContent>
  <xr:revisionPtr revIDLastSave="2" documentId="13_ncr:1_{126068E4-8E1D-4BB3-86B4-F74EEE83AC03}" xr6:coauthVersionLast="47" xr6:coauthVersionMax="47" xr10:uidLastSave="{347FB223-49ED-41DE-96B4-676C6E6FBF67}"/>
  <bookViews>
    <workbookView xWindow="9600" yWindow="0" windowWidth="28800" windowHeight="15370" xr2:uid="{00000000-000D-0000-FFFF-FFFF00000000}"/>
  </bookViews>
  <sheets>
    <sheet name="Customer preference in car" sheetId="4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A2" i="4" l="1"/>
  <c r="BA3" i="4"/>
  <c r="BA4" i="4"/>
  <c r="BA5" i="4"/>
  <c r="BA6" i="4"/>
  <c r="BA7" i="4"/>
  <c r="BA8" i="4"/>
  <c r="BA9" i="4"/>
  <c r="BA10" i="4"/>
  <c r="BA11" i="4"/>
  <c r="BA12" i="4"/>
  <c r="BA13" i="4"/>
  <c r="BA14" i="4"/>
  <c r="BA15" i="4"/>
  <c r="BA16" i="4"/>
  <c r="BA17" i="4"/>
  <c r="BA18" i="4"/>
  <c r="BA19" i="4"/>
  <c r="BA20" i="4"/>
  <c r="BA21" i="4"/>
  <c r="BA22" i="4"/>
  <c r="BA23" i="4"/>
  <c r="BA24" i="4"/>
  <c r="BA25" i="4"/>
  <c r="BA26" i="4"/>
  <c r="BA27" i="4"/>
  <c r="BA28" i="4"/>
  <c r="BA29" i="4"/>
  <c r="BA30" i="4"/>
  <c r="BA31" i="4"/>
  <c r="BA32" i="4"/>
  <c r="BA33" i="4"/>
  <c r="BA34" i="4"/>
  <c r="BA35" i="4"/>
  <c r="BA36" i="4"/>
  <c r="BA37" i="4"/>
  <c r="BA38" i="4"/>
  <c r="BA39" i="4"/>
  <c r="BA40" i="4"/>
  <c r="BA41" i="4"/>
  <c r="BA42" i="4"/>
  <c r="BA43" i="4"/>
  <c r="BA44" i="4"/>
  <c r="BA45" i="4"/>
  <c r="BA46" i="4"/>
  <c r="BA47" i="4"/>
  <c r="BA48" i="4"/>
  <c r="BA49" i="4"/>
  <c r="BA50" i="4"/>
  <c r="BA51" i="4"/>
  <c r="AZ2" i="4"/>
  <c r="AZ3" i="4"/>
  <c r="AZ4" i="4"/>
  <c r="AZ5" i="4"/>
  <c r="AZ6" i="4"/>
  <c r="AZ7" i="4"/>
  <c r="AZ8" i="4"/>
  <c r="AZ9" i="4"/>
  <c r="AZ10" i="4"/>
  <c r="AZ11" i="4"/>
  <c r="AZ12" i="4"/>
  <c r="AZ13" i="4"/>
  <c r="AZ14" i="4"/>
  <c r="AZ15" i="4"/>
  <c r="AZ16" i="4"/>
  <c r="AZ17" i="4"/>
  <c r="AZ18" i="4"/>
  <c r="AZ19" i="4"/>
  <c r="AZ20" i="4"/>
  <c r="AZ21" i="4"/>
  <c r="AZ22" i="4"/>
  <c r="AZ23" i="4"/>
  <c r="AZ24" i="4"/>
  <c r="AZ25" i="4"/>
  <c r="AZ26" i="4"/>
  <c r="AZ27" i="4"/>
  <c r="AZ28" i="4"/>
  <c r="AZ29" i="4"/>
  <c r="AZ30" i="4"/>
  <c r="AZ31" i="4"/>
  <c r="AZ32" i="4"/>
  <c r="AZ33" i="4"/>
  <c r="AZ34" i="4"/>
  <c r="AZ35" i="4"/>
  <c r="AZ36" i="4"/>
  <c r="AZ37" i="4"/>
  <c r="AZ38" i="4"/>
  <c r="AZ39" i="4"/>
  <c r="AZ40" i="4"/>
  <c r="AZ41" i="4"/>
  <c r="AZ42" i="4"/>
  <c r="AZ43" i="4"/>
  <c r="AZ44" i="4"/>
  <c r="AZ45" i="4"/>
  <c r="AZ46" i="4"/>
  <c r="AZ47" i="4"/>
  <c r="AZ48" i="4"/>
  <c r="AZ49" i="4"/>
  <c r="AZ50" i="4"/>
  <c r="AZ51" i="4"/>
  <c r="AY2" i="4"/>
  <c r="AY3" i="4"/>
  <c r="AY4" i="4"/>
  <c r="AY5" i="4"/>
  <c r="AY6" i="4"/>
  <c r="AY7" i="4"/>
  <c r="AY8" i="4"/>
  <c r="AY9" i="4"/>
  <c r="AY10" i="4"/>
  <c r="AY11" i="4"/>
  <c r="AY12" i="4"/>
  <c r="AY13" i="4"/>
  <c r="AY14" i="4"/>
  <c r="AY15" i="4"/>
  <c r="AY16" i="4"/>
  <c r="AY17" i="4"/>
  <c r="AY18" i="4"/>
  <c r="AY19" i="4"/>
  <c r="AY20" i="4"/>
  <c r="AY21" i="4"/>
  <c r="AY22" i="4"/>
  <c r="AY23" i="4"/>
  <c r="AY24" i="4"/>
  <c r="AY25" i="4"/>
  <c r="AY26" i="4"/>
  <c r="AY27" i="4"/>
  <c r="AY28" i="4"/>
  <c r="AY29" i="4"/>
  <c r="AY30" i="4"/>
  <c r="AY31" i="4"/>
  <c r="AY32" i="4"/>
  <c r="AY33" i="4"/>
  <c r="AY34" i="4"/>
  <c r="AY35" i="4"/>
  <c r="AY36" i="4"/>
  <c r="AY37" i="4"/>
  <c r="AY38" i="4"/>
  <c r="AY39" i="4"/>
  <c r="AY40" i="4"/>
  <c r="AY41" i="4"/>
  <c r="AY42" i="4"/>
  <c r="AY43" i="4"/>
  <c r="AY44" i="4"/>
  <c r="AY45" i="4"/>
  <c r="AY46" i="4"/>
  <c r="AY47" i="4"/>
  <c r="AY48" i="4"/>
  <c r="AY49" i="4"/>
  <c r="AY50" i="4"/>
  <c r="AY51" i="4"/>
  <c r="AK2" i="4"/>
  <c r="AK3" i="4"/>
  <c r="AK4" i="4"/>
  <c r="AK5" i="4"/>
  <c r="AK6" i="4"/>
  <c r="AK7" i="4"/>
  <c r="AK8" i="4"/>
  <c r="AK9" i="4"/>
  <c r="AK10" i="4"/>
  <c r="AK11" i="4"/>
  <c r="AK12" i="4"/>
  <c r="AK13" i="4"/>
  <c r="AK14" i="4"/>
  <c r="AK15" i="4"/>
  <c r="AK16" i="4"/>
  <c r="AK17" i="4"/>
  <c r="AK18" i="4"/>
  <c r="AK19" i="4"/>
  <c r="AK20" i="4"/>
  <c r="AK21" i="4"/>
  <c r="AK22" i="4"/>
  <c r="AK23" i="4"/>
  <c r="AK24" i="4"/>
  <c r="AK25" i="4"/>
  <c r="AK26" i="4"/>
  <c r="AK27" i="4"/>
  <c r="AK28" i="4"/>
  <c r="AK29" i="4"/>
  <c r="AK30" i="4"/>
  <c r="AK31" i="4"/>
  <c r="AK32" i="4"/>
  <c r="AK33" i="4"/>
  <c r="AK34" i="4"/>
  <c r="AK35" i="4"/>
  <c r="AK36" i="4"/>
  <c r="AK37" i="4"/>
  <c r="AK38" i="4"/>
  <c r="AK39" i="4"/>
  <c r="AK40" i="4"/>
  <c r="AK41" i="4"/>
  <c r="AK42" i="4"/>
  <c r="AK43" i="4"/>
  <c r="AK44" i="4"/>
  <c r="AK45" i="4"/>
  <c r="AK46" i="4"/>
  <c r="AK47" i="4"/>
  <c r="AK48" i="4"/>
  <c r="AK49" i="4"/>
  <c r="AK50" i="4"/>
  <c r="AK51" i="4"/>
  <c r="AJ2" i="4"/>
  <c r="AJ3" i="4"/>
  <c r="AJ4" i="4"/>
  <c r="AJ5" i="4"/>
  <c r="AJ6" i="4"/>
  <c r="AJ7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5" i="4"/>
  <c r="AJ26" i="4"/>
  <c r="AJ27" i="4"/>
  <c r="AJ28" i="4"/>
  <c r="AJ29" i="4"/>
  <c r="AJ30" i="4"/>
  <c r="AJ31" i="4"/>
  <c r="AJ32" i="4"/>
  <c r="AJ33" i="4"/>
  <c r="AJ34" i="4"/>
  <c r="AJ35" i="4"/>
  <c r="AJ36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</calcChain>
</file>

<file path=xl/sharedStrings.xml><?xml version="1.0" encoding="utf-8"?>
<sst xmlns="http://schemas.openxmlformats.org/spreadsheetml/2006/main" count="673" uniqueCount="163">
  <si>
    <t>20-30</t>
  </si>
  <si>
    <t>Male</t>
  </si>
  <si>
    <t>Do not own a car, but planning to purchase in future</t>
  </si>
  <si>
    <t>Single</t>
  </si>
  <si>
    <t>Price;Functionality;Size;Customisable options</t>
  </si>
  <si>
    <t>Very likely</t>
  </si>
  <si>
    <t>Grilles</t>
  </si>
  <si>
    <t>Centre compartment</t>
  </si>
  <si>
    <t>100-500</t>
  </si>
  <si>
    <t>Only with professional help</t>
  </si>
  <si>
    <t>500-1000</t>
  </si>
  <si>
    <t>No, I would need a designer to model my sketch</t>
  </si>
  <si>
    <t>Centre compartment;Door handles;Dashboard</t>
  </si>
  <si>
    <t>over 1000</t>
  </si>
  <si>
    <t>Wheels</t>
  </si>
  <si>
    <t>Steering wheel;Centre compartment;Door handles;Dashboard</t>
  </si>
  <si>
    <t>Yes</t>
  </si>
  <si>
    <t>Female</t>
  </si>
  <si>
    <t>Price;Brand name;Aesthetics;Technological features;Functionality;Size;Sustainability/environment considerations</t>
  </si>
  <si>
    <t>Likely</t>
  </si>
  <si>
    <t>Wheels;Grilles;Headlights;Side mirrors</t>
  </si>
  <si>
    <t>under 500</t>
  </si>
  <si>
    <t>wheels that look like the singapore flyer</t>
  </si>
  <si>
    <t>Aesthetics;Functionality;Customisable options</t>
  </si>
  <si>
    <t>Steering wheel;Dashboard</t>
  </si>
  <si>
    <t>Yes, I can design on my own</t>
  </si>
  <si>
    <t>Price;Brand name;Aesthetics;Technological features;Functionality;Size;Customisable options;Sustainability/environment considerations</t>
  </si>
  <si>
    <t>Wheels;Grilles;Headlights;Side mirrors;Bumpers</t>
  </si>
  <si>
    <t>Price;Brand name;Aesthetics;Technological features;Functionality</t>
  </si>
  <si>
    <t>Wheels;Grilles;Headlights;Bumpers</t>
  </si>
  <si>
    <t>Steering wheel;Centre compartment</t>
  </si>
  <si>
    <t>Sg flag/ colour related car paint</t>
  </si>
  <si>
    <t>Wheels;Headlights</t>
  </si>
  <si>
    <t>Price;Brand name;Aesthetics;Size</t>
  </si>
  <si>
    <t>Wheels;Headlights;Bumpers</t>
  </si>
  <si>
    <t>Price</t>
  </si>
  <si>
    <t>No</t>
  </si>
  <si>
    <t>Own more than one car</t>
  </si>
  <si>
    <t>Price;Brand name;Aesthetics;Technological features;Functionality;Size</t>
  </si>
  <si>
    <t>Wheels;Bumpers</t>
  </si>
  <si>
    <t>Centre compartment;Dashboard</t>
  </si>
  <si>
    <t>Price;Technological features;Functionality</t>
  </si>
  <si>
    <t>Wheels;Grilles</t>
  </si>
  <si>
    <t>51-60</t>
  </si>
  <si>
    <t>Own a car</t>
  </si>
  <si>
    <t>Married with children</t>
  </si>
  <si>
    <t>Price;Brand name;Functionality</t>
  </si>
  <si>
    <t>Centre compartment;Dashboard;Sun blocker for front passengers</t>
  </si>
  <si>
    <t xml:space="preserve">It rains a lot so an umbrella holder or extendable shelter </t>
  </si>
  <si>
    <t>Price;Brand name;Aesthetics;Functionality;Size</t>
  </si>
  <si>
    <t>Steering wheel;Centre compartment;Dashboard</t>
  </si>
  <si>
    <t>Price;Aesthetics;Technological features;Functionality</t>
  </si>
  <si>
    <t>Wheels;Headlights;Side mirrors</t>
  </si>
  <si>
    <t>Price;Brand name;Technological features;Functionality;Size;Sustainability/environment considerations</t>
  </si>
  <si>
    <t>Price;Aesthetics;Size</t>
  </si>
  <si>
    <t>Steering wheel;Door handles;Dashboard</t>
  </si>
  <si>
    <t>Side mirrors</t>
  </si>
  <si>
    <t>31-40</t>
  </si>
  <si>
    <t>Not likely</t>
  </si>
  <si>
    <t>Bumpers</t>
  </si>
  <si>
    <t>Dashboard</t>
  </si>
  <si>
    <t>Grilles;Bumpers</t>
  </si>
  <si>
    <t>Price;Functionality;Size</t>
  </si>
  <si>
    <t>Wheels;Side mirrors</t>
  </si>
  <si>
    <t>Steering wheel</t>
  </si>
  <si>
    <t>Steering wheel;Centre compartment;Door handles</t>
  </si>
  <si>
    <t>Price;Technological features;Functionality;Size;Sustainability/environment considerations</t>
  </si>
  <si>
    <t>Price;Functionality;Sustainability/environment considerations</t>
  </si>
  <si>
    <t>Wheels;Grilles;Side mirrors;Bumpers</t>
  </si>
  <si>
    <t>41-50</t>
  </si>
  <si>
    <t>Price;Brand name;Aesthetics;Technological features;Size</t>
  </si>
  <si>
    <t>Brand name;Technological features;Functionality;Sustainability/environment considerations</t>
  </si>
  <si>
    <t>Brakes</t>
  </si>
  <si>
    <t>Coffeeshop Iced Coffee Takeaway plastic drink holder (long and thin design, with a hook at the top and straw area)</t>
  </si>
  <si>
    <t>Price;Aesthetics;Technological features</t>
  </si>
  <si>
    <t>Steering wheel;Door handles</t>
  </si>
  <si>
    <t>streamline body shape</t>
  </si>
  <si>
    <t>Price;Aesthetics</t>
  </si>
  <si>
    <t>Headlights</t>
  </si>
  <si>
    <t>Married with no children</t>
  </si>
  <si>
    <t>Wheels;Grilles;Headlights</t>
  </si>
  <si>
    <t>Grilles;Bumpers;doors</t>
  </si>
  <si>
    <t xml:space="preserve"> micro-small car 2 sitter</t>
  </si>
  <si>
    <t>Brand name;Aesthetics;Functionality;Size</t>
  </si>
  <si>
    <t>Grilles;Headlights</t>
  </si>
  <si>
    <t>Prefer not to say</t>
  </si>
  <si>
    <t>Price;Aesthetics;Technological features;Functionality;Sustainability/environment considerations</t>
  </si>
  <si>
    <t>Price;Brand name;Technological features;Functionality</t>
  </si>
  <si>
    <t>Price;Brand name;Technological features;Functionality;Size</t>
  </si>
  <si>
    <t>Centre compartment;Door handles</t>
  </si>
  <si>
    <t>Grilles;Headlights;Side mirrors;Bumpers</t>
  </si>
  <si>
    <t>hooks to hang my drinks from coffee shops that come in a plastic bag</t>
  </si>
  <si>
    <t>Door handles</t>
  </si>
  <si>
    <t>Grilles;Headlights;Side mirrors</t>
  </si>
  <si>
    <t>Petrol is expensive in Singapore. Car that is very fuel efficiency. EV is welcome as well</t>
  </si>
  <si>
    <t>Price;Brand name;Aesthetics</t>
  </si>
  <si>
    <t>Price;Brand name;Technological features;Size</t>
  </si>
  <si>
    <t xml:space="preserve">Hook to hold packet drinks , smaller car with sporty look ,affordable(due to COE) but can make many customization, look more like hatchback cars due to small space in singapore.  </t>
  </si>
  <si>
    <t>Automated Aircon Temperature  regulator so driver feel comfortable without adjusting temperature  (Singapore is hot driver will lower temperature which is bad for the environment)</t>
  </si>
  <si>
    <t>classic look</t>
  </si>
  <si>
    <t>Price;Brand name;Aesthetics;Technological features;Functionality;Sustainability/environment considerations</t>
  </si>
  <si>
    <t>Price;Brand name;Aesthetics;Technological features;Functionality;Size;Customisable options</t>
  </si>
  <si>
    <t>Solar Panel included in car to save energy.</t>
  </si>
  <si>
    <t>Brand name;Technological features;Functionality;Customisable options</t>
  </si>
  <si>
    <t>Sustainability/environment considerations</t>
  </si>
  <si>
    <t>Price;Brand name;Aesthetics;Sustainability/environment considerations</t>
  </si>
  <si>
    <t>Price;Brand name;Aesthetics;Size;Sustainability/environment considerations</t>
  </si>
  <si>
    <t>Steering wheel;Dashboard;air vent</t>
  </si>
  <si>
    <t xml:space="preserve">Bumper and Grilles can be re-designed as "Sing" words </t>
  </si>
  <si>
    <t>Wheels;Headlights;Bumpers;add body kit and change the exhaust and tune the engine</t>
  </si>
  <si>
    <t xml:space="preserve">make a custom body kit which is unique </t>
  </si>
  <si>
    <t>Price;Brand name;Aesthetics;Functionality;Size;Sustainability/environment considerations</t>
  </si>
  <si>
    <t>unique color</t>
  </si>
  <si>
    <t>Price;Brand name;Technological features</t>
  </si>
  <si>
    <t>Price;Aesthetics;Technological features;Customisable options;Sustainability/environment considerations</t>
  </si>
  <si>
    <t xml:space="preserve">compact, cheapest &amp; safety design </t>
  </si>
  <si>
    <t>Price;Technological features;Functionality;Customisable options;Sustainability/environment considerations</t>
  </si>
  <si>
    <t>Can be linked with some brands</t>
  </si>
  <si>
    <t>Age Group</t>
  </si>
  <si>
    <t>Gender</t>
  </si>
  <si>
    <t>Ownership</t>
  </si>
  <si>
    <t>Marital status</t>
  </si>
  <si>
    <t>Purchase considerations</t>
  </si>
  <si>
    <t xml:space="preserve">Cutomisable interior features </t>
  </si>
  <si>
    <t>Budget for customisations (including surchage)</t>
  </si>
  <si>
    <t>Likelihood to customise vehicle (without surcharge)</t>
  </si>
  <si>
    <t>Interest in personalising car components</t>
  </si>
  <si>
    <t>3D design experience for car customisation</t>
  </si>
  <si>
    <t>Suggest unique Singaporean car designs</t>
  </si>
  <si>
    <t>Budget for personalised design</t>
  </si>
  <si>
    <t xml:space="preserve">Customisable exterior features </t>
  </si>
  <si>
    <t>Functionality</t>
  </si>
  <si>
    <t>Size</t>
  </si>
  <si>
    <t>Customisable options</t>
  </si>
  <si>
    <t>Brand name</t>
  </si>
  <si>
    <t>Aesthetics</t>
  </si>
  <si>
    <t>Technological features</t>
  </si>
  <si>
    <t>doors</t>
  </si>
  <si>
    <t>add body kit and change the exhaust and tune the engine</t>
  </si>
  <si>
    <t>Sun blocker for front passengers</t>
  </si>
  <si>
    <t>air vent</t>
  </si>
  <si>
    <t>Budget for customisations (fixed)</t>
  </si>
  <si>
    <t>Budget for personalised design (fixed)</t>
  </si>
  <si>
    <t>Likelihood to customise vehicle (without surcharge) (Fixed)</t>
  </si>
  <si>
    <t>Interest in personalising car components (Fixed)</t>
  </si>
  <si>
    <t>3D design experience for car customisation (Fixed)</t>
  </si>
  <si>
    <t>Customisation Budget: 100-500</t>
  </si>
  <si>
    <t>Customisation Budget: under 500</t>
  </si>
  <si>
    <t>Customisation Budget: 500-1000</t>
  </si>
  <si>
    <t>Customisation Budget: over 1000</t>
  </si>
  <si>
    <t>Customisation Budget: 0</t>
  </si>
  <si>
    <t>Personalisation Budget: 500-1000</t>
  </si>
  <si>
    <t>Personalisation Budget: under 500</t>
  </si>
  <si>
    <t>Personalisation Budget: over 1000</t>
  </si>
  <si>
    <t>Personalisation Budget: 0</t>
  </si>
  <si>
    <t>Customisation likelihood: Likely</t>
  </si>
  <si>
    <t>Customisation likelihood: Very likely</t>
  </si>
  <si>
    <t>Customisation likelihood: Not likely</t>
  </si>
  <si>
    <t>Interest in personalising car components: Only with professional help</t>
  </si>
  <si>
    <t>Interest in personalising car components: Yes</t>
  </si>
  <si>
    <t>Interest in personalising car components: No</t>
  </si>
  <si>
    <t>3D design experience: No, I would need a designer to model my sketch</t>
  </si>
  <si>
    <t>3D design experience: Yes, I can design on my 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</si>
</sst>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3">
    <xf numFmtId="0" fontId="0" fillId="0" borderId="0" xfId="0"/>
    <xf numFmtId="0" fontId="18" fillId="18" borderId="10" xfId="27" applyFont="1" applyBorder="1" applyAlignment="1">
      <alignment wrapText="1"/>
    </xf>
    <xf numFmtId="0" fontId="18" fillId="18" borderId="11" xfId="27" applyFont="1" applyBorder="1" applyAlignment="1">
      <alignment wrapText="1"/>
    </xf>
    <xf numFmtId="0" fontId="18" fillId="0" borderId="13" xfId="0" applyFont="1" applyBorder="1" applyAlignment="1">
      <alignment wrapText="1"/>
    </xf>
    <xf numFmtId="0" fontId="18" fillId="0" borderId="12" xfId="0" applyFont="1" applyBorder="1" applyAlignment="1">
      <alignment wrapText="1"/>
    </xf>
    <xf numFmtId="0" fontId="18" fillId="0" borderId="10" xfId="0" applyFont="1" applyBorder="1" applyAlignment="1">
      <alignment wrapText="1"/>
    </xf>
    <xf numFmtId="0" fontId="18" fillId="0" borderId="11" xfId="0" applyFont="1" applyBorder="1" applyAlignment="1">
      <alignment wrapText="1"/>
    </xf>
    <xf numFmtId="0" fontId="18" fillId="18" borderId="13" xfId="27" applyFont="1" applyBorder="1" applyAlignment="1">
      <alignment wrapText="1"/>
    </xf>
    <xf numFmtId="0" fontId="18" fillId="18" borderId="12" xfId="27" applyFont="1" applyBorder="1" applyAlignment="1">
      <alignment wrapText="1"/>
    </xf>
    <xf numFmtId="0" fontId="18" fillId="0" borderId="12" xfId="0" applyFont="1" applyBorder="1"/>
    <xf numFmtId="0" fontId="18" fillId="18" borderId="14" xfId="27" applyFont="1" applyBorder="1" applyAlignment="1">
      <alignment wrapText="1"/>
    </xf>
    <xf numFmtId="0" fontId="18" fillId="0" borderId="15" xfId="0" applyFont="1" applyBorder="1" applyAlignment="1">
      <alignment wrapText="1"/>
    </xf>
    <xf numFmtId="0" fontId="18" fillId="0" borderId="14" xfId="0" applyFont="1" applyBorder="1" applyAlignment="1">
      <alignment wrapText="1"/>
    </xf>
    <xf numFmtId="0" fontId="18" fillId="18" borderId="15" xfId="27" applyFont="1" applyBorder="1" applyAlignment="1">
      <alignment wrapText="1"/>
    </xf>
    <xf numFmtId="0" fontId="18" fillId="0" borderId="17" xfId="0" applyFont="1" applyBorder="1" applyAlignment="1">
      <alignment wrapText="1"/>
    </xf>
    <xf numFmtId="0" fontId="18" fillId="0" borderId="18" xfId="0" applyFont="1" applyBorder="1" applyAlignment="1">
      <alignment wrapText="1"/>
    </xf>
    <xf numFmtId="0" fontId="19" fillId="15" borderId="16" xfId="24" applyFont="1" applyBorder="1" applyAlignment="1">
      <alignment vertical="center" wrapText="1"/>
    </xf>
    <xf numFmtId="0" fontId="19" fillId="15" borderId="13" xfId="24" applyFont="1" applyBorder="1" applyAlignment="1">
      <alignment vertical="center" wrapText="1"/>
    </xf>
    <xf numFmtId="0" fontId="19" fillId="15" borderId="15" xfId="24" applyFont="1" applyBorder="1" applyAlignment="1">
      <alignment vertical="center" wrapText="1"/>
    </xf>
    <xf numFmtId="0" fontId="19" fillId="15" borderId="11" xfId="24" applyFont="1" applyBorder="1" applyAlignment="1">
      <alignment wrapText="1"/>
    </xf>
    <xf numFmtId="0" fontId="18" fillId="0" borderId="19" xfId="0" applyFont="1" applyBorder="1" applyAlignment="1">
      <alignment wrapText="1"/>
    </xf>
    <xf numFmtId="0" fontId="18" fillId="18" borderId="10" xfId="27" applyNumberFormat="1" applyFont="1" applyBorder="1" applyAlignment="1">
      <alignment wrapText="1"/>
    </xf>
    <xf numFmtId="0" fontId="18" fillId="18" borderId="13" xfId="27" applyNumberFormat="1" applyFont="1" applyBorder="1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7069FB-BA66-4241-A4D5-EFCCE4C644FF}" name="Table1" displayName="Table1" ref="A1:BR51" totalsRowShown="0" headerRowDxfId="73" dataDxfId="71" headerRowBorderDxfId="72" tableBorderDxfId="70" headerRowCellStyle="40% - Accent2">
  <autoFilter ref="A1:BR51" xr:uid="{C37069FB-BA66-4241-A4D5-EFCCE4C644FF}"/>
  <tableColumns count="70">
    <tableColumn id="1" xr3:uid="{2454F337-CCD0-4C2F-9DCD-914C4E166432}" name="Age Group" dataDxfId="69"/>
    <tableColumn id="2" xr3:uid="{A6AC9617-2827-4AD9-8B4E-3F365B64EFAA}" name="Gender" dataDxfId="68"/>
    <tableColumn id="3" xr3:uid="{A6F7166F-97BF-4041-A8E7-9CAFB3F5E3D8}" name="Ownership" dataDxfId="67"/>
    <tableColumn id="4" xr3:uid="{B4C0485A-55A0-4D8E-A413-44BEDECBBF74}" name="Marital status" dataDxfId="66"/>
    <tableColumn id="5" xr3:uid="{C5B127C2-3B1F-4C6A-ADC0-02796E1C8BF7}" name="Purchase considerations" dataDxfId="65"/>
    <tableColumn id="6" xr3:uid="{D2A3EEE9-076D-4954-9716-F378128EC4B6}" name="Likelihood to customise vehicle (without surcharge)" dataDxfId="64"/>
    <tableColumn id="9" xr3:uid="{3EC91A84-E3AD-448C-B9BB-B001F26C17F7}" name="Budget for customisations (including surchage)" dataDxfId="63"/>
    <tableColumn id="7" xr3:uid="{7E269DD8-9D64-45F0-9E7D-28C174629DA7}" name="Customisable exterior features " dataDxfId="62"/>
    <tableColumn id="8" xr3:uid="{F40EDB7F-E142-4FC7-B806-85C64DA80FE5}" name="Cutomisable interior features " dataDxfId="61"/>
    <tableColumn id="10" xr3:uid="{70CD29A5-6514-4272-B5C4-701D54793240}" name="Interest in personalising car components" dataDxfId="60"/>
    <tableColumn id="11" xr3:uid="{6451B056-F757-47C0-B2CA-4C87C66289B0}" name="Budget for personalised design" dataDxfId="59"/>
    <tableColumn id="12" xr3:uid="{46060462-BC7B-4ABE-8ABF-450EAD730625}" name="3D design experience for car customisation" dataDxfId="58"/>
    <tableColumn id="13" xr3:uid="{1DDCBB4A-2CCB-4FBB-BEA2-0694C84756C4}" name="Suggest unique Singaporean car designs" dataDxfId="57"/>
    <tableColumn id="14" xr3:uid="{6A3A5484-9734-4730-9ABB-4E85845D6C55}" name="Price" dataDxfId="56"/>
    <tableColumn id="15" xr3:uid="{9BA7318D-71F5-426C-A307-6D967626CE1E}" name="Functionality" dataDxfId="55"/>
    <tableColumn id="16" xr3:uid="{51F21A25-D7BB-4D34-8A21-7AFEF159E802}" name="Size" dataDxfId="54"/>
    <tableColumn id="17" xr3:uid="{CFDBE18C-EE81-420D-892A-2D6B26CC7452}" name="Customisable options" dataDxfId="53"/>
    <tableColumn id="18" xr3:uid="{ED1F427E-C824-421E-90C4-4BC5140DCC47}" name="Brand name" dataDxfId="52"/>
    <tableColumn id="19" xr3:uid="{8511B7E1-03CB-48A6-A041-F5CB373975D1}" name="Aesthetics" dataDxfId="51"/>
    <tableColumn id="20" xr3:uid="{418404E7-3AFA-4E49-BFBE-1F8E918CB1B9}" name="Technological features" dataDxfId="50"/>
    <tableColumn id="21" xr3:uid="{971413A2-2304-4E19-8E62-D0B9F0E46782}" name="Sustainability/environment considerations" dataDxfId="49"/>
    <tableColumn id="23" xr3:uid="{69368433-FB42-4C8C-B267-0919CAEC7324}" name="Grilles" dataDxfId="48"/>
    <tableColumn id="24" xr3:uid="{5F76D9FC-0924-4C4C-A904-D24E93044EAC}" name="Wheels" dataDxfId="47"/>
    <tableColumn id="25" xr3:uid="{228793A8-6D3D-4B63-8CB2-493D881C024B}" name="Headlights" dataDxfId="46"/>
    <tableColumn id="26" xr3:uid="{71CFF568-B08D-44EC-8AB5-B41EE81E10CB}" name="Side mirrors" dataDxfId="45"/>
    <tableColumn id="27" xr3:uid="{4452A3C8-7C07-444B-A0D1-4E626DD5BF21}" name="Bumpers" dataDxfId="44"/>
    <tableColumn id="29" xr3:uid="{A40E5A4C-D590-490B-A86F-6AA536822C9C}" name="Brakes" dataDxfId="43"/>
    <tableColumn id="30" xr3:uid="{68183122-34EF-4F4E-B544-35C09A50F1CF}" name="doors" dataDxfId="42"/>
    <tableColumn id="31" xr3:uid="{ACBF8375-620E-4C82-9697-FB5AAFC22621}" name="add body kit and change the exhaust and tune the engine" dataDxfId="41"/>
    <tableColumn id="32" xr3:uid="{FAA6D39F-63E5-407B-8817-B32A88E26BC0}" name="Centre compartment" dataDxfId="40"/>
    <tableColumn id="33" xr3:uid="{421FEA8C-ADF4-44E0-929E-A0AEA3E55C00}" name="Steering wheel" dataDxfId="39"/>
    <tableColumn id="34" xr3:uid="{F03637BD-2824-4597-BB2E-FDA8147189CD}" name="Dashboard" dataDxfId="38"/>
    <tableColumn id="35" xr3:uid="{D8900084-ED76-4C28-92A6-602F3E3BE1F8}" name="Door handles" dataDxfId="37"/>
    <tableColumn id="36" xr3:uid="{7B1B74E9-65F2-457C-B05B-2C92C4F6A8C0}" name="Sun blocker for front passengers" dataDxfId="36"/>
    <tableColumn id="37" xr3:uid="{E5A3251E-9DCD-4817-9BFB-C570FEC95515}" name="air vent" dataDxfId="35"/>
    <tableColumn id="38" xr3:uid="{E959B696-334A-44FA-A122-B72DF94588E8}" name="Budget for customisations (fixed)" dataDxfId="34">
      <calculatedColumnFormula>CONCATENATE("Customisation Budget: ",G2)</calculatedColumnFormula>
    </tableColumn>
    <tableColumn id="39" xr3:uid="{858039E7-77D6-493B-8AF3-4BCCF2969D8D}" name="Budget for personalised design (fixed)" dataDxfId="33">
      <calculatedColumnFormula>CONCATENATE("Personalisation Budget: ",K2)</calculatedColumnFormula>
    </tableColumn>
    <tableColumn id="40" xr3:uid="{362B9B25-FE08-4A19-8C29-031C0734B25D}" name="20-30" dataDxfId="32"/>
    <tableColumn id="41" xr3:uid="{3F12F1B2-44DB-48BD-86AA-1F2BEDDE7454}" name="51-60" dataDxfId="31"/>
    <tableColumn id="42" xr3:uid="{28DA9657-E488-451F-B1D9-0E40037BB7F4}" name="41-50" dataDxfId="30"/>
    <tableColumn id="43" xr3:uid="{5AB42C80-6797-4C9A-8630-89726BB177C5}" name="31-40" dataDxfId="29"/>
    <tableColumn id="44" xr3:uid="{BD622193-E291-485E-8E00-E7837AE2D8E5}" name="Male" dataDxfId="28"/>
    <tableColumn id="45" xr3:uid="{2AF17F43-6E72-44F8-92A6-B380EDB8DE67}" name="Female" dataDxfId="27"/>
    <tableColumn id="46" xr3:uid="{4564B650-559A-4655-B89F-EC5C3874C360}" name="Prefer not to say" dataDxfId="26"/>
    <tableColumn id="47" xr3:uid="{52B0AA3A-FA02-4CAD-A5F8-FBB949A1C3FF}" name="Do not own a car, but planning to purchase in future" dataDxfId="25"/>
    <tableColumn id="48" xr3:uid="{F04419DA-34FB-400B-8E11-334D82BDE7E2}" name="Own more than one car" dataDxfId="24"/>
    <tableColumn id="49" xr3:uid="{2ADA68EB-CF70-41E4-B514-D7E8DF1446D4}" name="Own a car" dataDxfId="23"/>
    <tableColumn id="50" xr3:uid="{C137B9B4-6C2D-4E36-841D-D013097CEE77}" name="Single" dataDxfId="22"/>
    <tableColumn id="51" xr3:uid="{3CCF7804-1A32-45C6-B909-F189F98ADDE2}" name="Married with children" dataDxfId="21"/>
    <tableColumn id="52" xr3:uid="{2EE6810D-2B8C-4FF6-A64A-23F24F2FD657}" name="Married with no children" dataDxfId="20"/>
    <tableColumn id="53" xr3:uid="{659B0F2E-B6F4-49D3-919C-612597B2C235}" name="Likelihood to customise vehicle (without surcharge) (Fixed)" dataDxfId="19">
      <calculatedColumnFormula>CONCATENATE("Customisation likelihood: ",F2)</calculatedColumnFormula>
    </tableColumn>
    <tableColumn id="54" xr3:uid="{B60DB5D6-2345-4838-AA53-23DE54898C2A}" name="Interest in personalising car components (Fixed)" dataDxfId="18">
      <calculatedColumnFormula>CONCATENATE("Interest in personalising car components: ",J2)</calculatedColumnFormula>
    </tableColumn>
    <tableColumn id="55" xr3:uid="{01323118-53B2-42A3-9A9A-16C8B56BE87D}" name="3D design experience for car customisation (Fixed)" dataDxfId="17">
      <calculatedColumnFormula>CONCATENATE("3D design experience: ",L2)</calculatedColumnFormula>
    </tableColumn>
    <tableColumn id="56" xr3:uid="{A33C00BA-6174-4CBB-9C59-9119C149F4C1}" name="Customisation Budget: 100-500" dataDxfId="16"/>
    <tableColumn id="57" xr3:uid="{19A8053E-96FA-4187-878B-BC60E3F2887D}" name="Customisation Budget: under 500" dataDxfId="15"/>
    <tableColumn id="58" xr3:uid="{480B2DC0-B0E3-4D4C-9790-52E2F2EEF98D}" name="Customisation Budget: 500-1000" dataDxfId="14"/>
    <tableColumn id="59" xr3:uid="{F2585946-0360-4896-8DC7-C9B3CB69CD12}" name="Customisation Budget: over 1000" dataDxfId="13"/>
    <tableColumn id="60" xr3:uid="{09AE08D9-0E9B-4F68-882B-2384D9AC99A4}" name="Customisation Budget: 0" dataDxfId="12"/>
    <tableColumn id="61" xr3:uid="{422EF4AD-77CA-49E3-83BD-5BECED88C47A}" name="Personalisation Budget: 500-1000" dataDxfId="11"/>
    <tableColumn id="62" xr3:uid="{90EC7A2B-B150-410C-8F67-7EDB93C01A41}" name="Personalisation Budget: under 500" dataDxfId="10"/>
    <tableColumn id="63" xr3:uid="{7676B0E2-D698-4170-A88D-62A2180D7DFF}" name="Personalisation Budget: over 1000" dataDxfId="9"/>
    <tableColumn id="64" xr3:uid="{C40E7432-3507-4F5D-A831-9B55CCBDCCE5}" name="Personalisation Budget: 0" dataDxfId="8"/>
    <tableColumn id="65" xr3:uid="{12A0B6EA-E8E2-4D78-A5DB-782BBF83AE08}" name="Customisation likelihood: Likely" dataDxfId="7"/>
    <tableColumn id="66" xr3:uid="{5B85F41B-BB67-4F7F-8C54-4A9DA04B57FB}" name="Customisation likelihood: Very likely" dataDxfId="6"/>
    <tableColumn id="67" xr3:uid="{E554B6E6-BB4E-482B-84D4-D8411CDAEDBB}" name="Customisation likelihood: Not likely" dataDxfId="5"/>
    <tableColumn id="68" xr3:uid="{93FA5D2C-50C5-4111-9269-07D88BDB1939}" name="Interest in personalising car components: Only with professional help" dataDxfId="4"/>
    <tableColumn id="69" xr3:uid="{B909FB4A-0231-40A4-AAD1-380B70FCFD72}" name="Interest in personalising car components: Yes" dataDxfId="3"/>
    <tableColumn id="70" xr3:uid="{48BFD847-25B4-458A-B1A5-B55C91F7D186}" name="Interest in personalising car components: No" dataDxfId="2"/>
    <tableColumn id="71" xr3:uid="{8A931212-DCA7-4319-A39E-609E56546ABD}" name="3D design experience: No, I would need a designer to model my sketch" dataDxfId="1"/>
    <tableColumn id="72" xr3:uid="{E706EAB9-508B-4D17-960E-2683765CDB7F}" name="3D design experience: Yes, I can design on my ow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41048-CFC4-D04D-8C1E-DE2FEFCFC913}">
  <sheetPr codeName="Sheet1"/>
  <dimension ref="A1:BR51"/>
  <sheetViews>
    <sheetView tabSelected="1" topLeftCell="BC1" zoomScaleNormal="100" workbookViewId="0">
      <selection activeCell="BQ10" sqref="BQ10"/>
    </sheetView>
  </sheetViews>
  <sheetFormatPr defaultColWidth="11" defaultRowHeight="15.5" x14ac:dyDescent="0.35"/>
  <cols>
    <col min="1" max="1" width="16.08203125" customWidth="1"/>
    <col min="2" max="2" width="12.75" customWidth="1"/>
    <col min="3" max="3" width="32.5" customWidth="1"/>
    <col min="4" max="4" width="17.33203125" customWidth="1"/>
    <col min="5" max="5" width="58.83203125" customWidth="1"/>
    <col min="6" max="6" width="31.08203125" customWidth="1"/>
    <col min="7" max="7" width="25.58203125" customWidth="1"/>
    <col min="8" max="8" width="35" customWidth="1"/>
    <col min="9" max="9" width="47.5" customWidth="1"/>
    <col min="10" max="10" width="28.58203125" customWidth="1"/>
    <col min="11" max="11" width="19.75" customWidth="1"/>
    <col min="12" max="12" width="32.58203125" customWidth="1"/>
    <col min="13" max="13" width="42.08203125" customWidth="1"/>
    <col min="14" max="14" width="11.08203125" customWidth="1"/>
    <col min="53" max="53" width="23.75" customWidth="1"/>
    <col min="54" max="54" width="44.75" customWidth="1"/>
    <col min="55" max="55" width="39.83203125" customWidth="1"/>
    <col min="68" max="68" width="26.25" customWidth="1"/>
    <col min="69" max="69" width="21.58203125" customWidth="1"/>
    <col min="70" max="70" width="20.83203125" customWidth="1"/>
  </cols>
  <sheetData>
    <row r="1" spans="1:70" s="19" customFormat="1" ht="40" customHeight="1" thickBot="1" x14ac:dyDescent="0.35">
      <c r="A1" s="16" t="s">
        <v>118</v>
      </c>
      <c r="B1" s="17" t="s">
        <v>119</v>
      </c>
      <c r="C1" s="17" t="s">
        <v>120</v>
      </c>
      <c r="D1" s="17" t="s">
        <v>121</v>
      </c>
      <c r="E1" s="17" t="s">
        <v>122</v>
      </c>
      <c r="F1" s="17" t="s">
        <v>125</v>
      </c>
      <c r="G1" s="17" t="s">
        <v>124</v>
      </c>
      <c r="H1" s="17" t="s">
        <v>130</v>
      </c>
      <c r="I1" s="17" t="s">
        <v>123</v>
      </c>
      <c r="J1" s="17" t="s">
        <v>126</v>
      </c>
      <c r="K1" s="17" t="s">
        <v>129</v>
      </c>
      <c r="L1" s="17" t="s">
        <v>127</v>
      </c>
      <c r="M1" s="18" t="s">
        <v>128</v>
      </c>
      <c r="N1" s="17" t="s">
        <v>35</v>
      </c>
      <c r="O1" s="17" t="s">
        <v>131</v>
      </c>
      <c r="P1" s="17" t="s">
        <v>132</v>
      </c>
      <c r="Q1" s="17" t="s">
        <v>133</v>
      </c>
      <c r="R1" s="17" t="s">
        <v>134</v>
      </c>
      <c r="S1" s="17" t="s">
        <v>135</v>
      </c>
      <c r="T1" s="17" t="s">
        <v>136</v>
      </c>
      <c r="U1" s="17" t="s">
        <v>104</v>
      </c>
      <c r="V1" s="17" t="s">
        <v>6</v>
      </c>
      <c r="W1" s="17" t="s">
        <v>14</v>
      </c>
      <c r="X1" s="17" t="s">
        <v>78</v>
      </c>
      <c r="Y1" s="17" t="s">
        <v>56</v>
      </c>
      <c r="Z1" s="17" t="s">
        <v>59</v>
      </c>
      <c r="AA1" s="17" t="s">
        <v>72</v>
      </c>
      <c r="AB1" s="17" t="s">
        <v>137</v>
      </c>
      <c r="AC1" s="17" t="s">
        <v>138</v>
      </c>
      <c r="AD1" s="17" t="s">
        <v>7</v>
      </c>
      <c r="AE1" s="17" t="s">
        <v>64</v>
      </c>
      <c r="AF1" s="17" t="s">
        <v>60</v>
      </c>
      <c r="AG1" s="17" t="s">
        <v>92</v>
      </c>
      <c r="AH1" s="17" t="s">
        <v>139</v>
      </c>
      <c r="AI1" s="17" t="s">
        <v>140</v>
      </c>
      <c r="AJ1" s="17" t="s">
        <v>141</v>
      </c>
      <c r="AK1" s="17" t="s">
        <v>142</v>
      </c>
      <c r="AL1" s="17" t="s">
        <v>0</v>
      </c>
      <c r="AM1" s="17" t="s">
        <v>43</v>
      </c>
      <c r="AN1" s="17" t="s">
        <v>69</v>
      </c>
      <c r="AO1" s="17" t="s">
        <v>57</v>
      </c>
      <c r="AP1" s="17" t="s">
        <v>1</v>
      </c>
      <c r="AQ1" s="17" t="s">
        <v>17</v>
      </c>
      <c r="AR1" s="17" t="s">
        <v>85</v>
      </c>
      <c r="AS1" s="17" t="s">
        <v>2</v>
      </c>
      <c r="AT1" s="17" t="s">
        <v>37</v>
      </c>
      <c r="AU1" s="17" t="s">
        <v>44</v>
      </c>
      <c r="AV1" s="17" t="s">
        <v>3</v>
      </c>
      <c r="AW1" s="17" t="s">
        <v>45</v>
      </c>
      <c r="AX1" s="17" t="s">
        <v>79</v>
      </c>
      <c r="AY1" s="17" t="s">
        <v>143</v>
      </c>
      <c r="AZ1" s="17" t="s">
        <v>144</v>
      </c>
      <c r="BA1" s="17" t="s">
        <v>145</v>
      </c>
      <c r="BB1" s="17" t="s">
        <v>146</v>
      </c>
      <c r="BC1" s="17" t="s">
        <v>147</v>
      </c>
      <c r="BD1" s="17" t="s">
        <v>148</v>
      </c>
      <c r="BE1" s="17" t="s">
        <v>149</v>
      </c>
      <c r="BF1" s="17" t="s">
        <v>150</v>
      </c>
      <c r="BG1" s="17" t="s">
        <v>151</v>
      </c>
      <c r="BH1" s="17" t="s">
        <v>152</v>
      </c>
      <c r="BI1" s="17" t="s">
        <v>153</v>
      </c>
      <c r="BJ1" s="17" t="s">
        <v>154</v>
      </c>
      <c r="BK1" s="17" t="s">
        <v>155</v>
      </c>
      <c r="BL1" s="17" t="s">
        <v>156</v>
      </c>
      <c r="BM1" s="17" t="s">
        <v>157</v>
      </c>
      <c r="BN1" s="17" t="s">
        <v>158</v>
      </c>
      <c r="BO1" s="17" t="s">
        <v>159</v>
      </c>
      <c r="BP1" s="17" t="s">
        <v>160</v>
      </c>
      <c r="BQ1" s="17" t="s">
        <v>161</v>
      </c>
      <c r="BR1" s="17" t="s">
        <v>162</v>
      </c>
    </row>
    <row r="2" spans="1:70" s="2" customFormat="1" ht="40" customHeight="1" thickBot="1" x14ac:dyDescent="0.3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19</v>
      </c>
      <c r="G2" s="1" t="s">
        <v>8</v>
      </c>
      <c r="H2" s="1" t="s">
        <v>6</v>
      </c>
      <c r="I2" s="1" t="s">
        <v>7</v>
      </c>
      <c r="J2" s="1" t="s">
        <v>9</v>
      </c>
      <c r="K2" s="1" t="s">
        <v>10</v>
      </c>
      <c r="L2" s="1" t="s">
        <v>11</v>
      </c>
      <c r="M2" s="10"/>
      <c r="N2" s="7">
        <v>1</v>
      </c>
      <c r="O2" s="7">
        <v>1</v>
      </c>
      <c r="P2" s="7">
        <v>1</v>
      </c>
      <c r="Q2" s="7">
        <v>1</v>
      </c>
      <c r="R2" s="7"/>
      <c r="S2" s="7"/>
      <c r="T2" s="7"/>
      <c r="U2" s="7"/>
      <c r="V2" s="7">
        <v>1</v>
      </c>
      <c r="W2" s="7"/>
      <c r="X2" s="7"/>
      <c r="Y2" s="7"/>
      <c r="Z2" s="7"/>
      <c r="AA2" s="7"/>
      <c r="AB2" s="7"/>
      <c r="AC2" s="7"/>
      <c r="AD2" s="7">
        <v>1</v>
      </c>
      <c r="AE2" s="7"/>
      <c r="AF2" s="7"/>
      <c r="AG2" s="7"/>
      <c r="AH2" s="7"/>
      <c r="AI2" s="7"/>
      <c r="AJ2" s="7" t="str">
        <f t="shared" ref="AJ2:AJ33" si="0">CONCATENATE("Customisation Budget: ",G2)</f>
        <v>Customisation Budget: 100-500</v>
      </c>
      <c r="AK2" s="7" t="str">
        <f t="shared" ref="AK2:AK33" si="1">CONCATENATE("Personalisation Budget: ",K2)</f>
        <v>Personalisation Budget: 500-1000</v>
      </c>
      <c r="AL2" s="7">
        <v>1</v>
      </c>
      <c r="AM2" s="7"/>
      <c r="AN2" s="7"/>
      <c r="AO2" s="7"/>
      <c r="AP2" s="7">
        <v>1</v>
      </c>
      <c r="AQ2" s="7"/>
      <c r="AR2" s="7"/>
      <c r="AS2" s="7">
        <v>1</v>
      </c>
      <c r="AT2" s="7"/>
      <c r="AU2" s="7"/>
      <c r="AV2" s="7">
        <v>1</v>
      </c>
      <c r="AW2" s="7"/>
      <c r="AX2" s="7"/>
      <c r="AY2" s="7" t="str">
        <f t="shared" ref="AY2:AY33" si="2">CONCATENATE("Customisation likelihood: ",F2)</f>
        <v>Customisation likelihood: Likely</v>
      </c>
      <c r="AZ2" s="7" t="str">
        <f t="shared" ref="AZ2:AZ33" si="3">CONCATENATE("Interest in personalising car components: ",J2)</f>
        <v>Interest in personalising car components: Only with professional help</v>
      </c>
      <c r="BA2" s="7" t="str">
        <f t="shared" ref="BA2:BA33" si="4">CONCATENATE("3D design experience: ",L2)</f>
        <v>3D design experience: No, I would need a designer to model my sketch</v>
      </c>
      <c r="BB2" s="22">
        <v>1</v>
      </c>
      <c r="BC2" s="22"/>
      <c r="BD2" s="22"/>
      <c r="BE2" s="22"/>
      <c r="BF2" s="22"/>
      <c r="BG2" s="22">
        <v>1</v>
      </c>
      <c r="BH2" s="22"/>
      <c r="BI2" s="22"/>
      <c r="BJ2" s="22"/>
      <c r="BK2" s="22">
        <v>1</v>
      </c>
      <c r="BL2" s="22"/>
      <c r="BM2" s="22"/>
      <c r="BN2" s="22">
        <v>1</v>
      </c>
      <c r="BO2" s="22"/>
      <c r="BP2" s="22"/>
      <c r="BQ2" s="22">
        <v>1</v>
      </c>
      <c r="BR2" s="22"/>
    </row>
    <row r="3" spans="1:70" s="4" customFormat="1" ht="40" customHeight="1" thickBot="1" x14ac:dyDescent="0.35">
      <c r="A3" s="3" t="s">
        <v>0</v>
      </c>
      <c r="B3" s="3" t="s">
        <v>17</v>
      </c>
      <c r="C3" s="3" t="s">
        <v>2</v>
      </c>
      <c r="D3" s="3" t="s">
        <v>3</v>
      </c>
      <c r="E3" s="3" t="s">
        <v>18</v>
      </c>
      <c r="F3" s="3" t="s">
        <v>19</v>
      </c>
      <c r="G3" s="3" t="s">
        <v>21</v>
      </c>
      <c r="H3" s="3" t="s">
        <v>20</v>
      </c>
      <c r="I3" s="3" t="s">
        <v>7</v>
      </c>
      <c r="J3" s="3" t="s">
        <v>9</v>
      </c>
      <c r="K3" s="3" t="s">
        <v>21</v>
      </c>
      <c r="L3" s="3" t="s">
        <v>11</v>
      </c>
      <c r="M3" s="11" t="s">
        <v>22</v>
      </c>
      <c r="N3" s="5">
        <v>1</v>
      </c>
      <c r="O3" s="5">
        <v>1</v>
      </c>
      <c r="P3" s="5">
        <v>1</v>
      </c>
      <c r="Q3" s="5"/>
      <c r="R3" s="5">
        <v>1</v>
      </c>
      <c r="S3" s="5">
        <v>1</v>
      </c>
      <c r="T3" s="5">
        <v>1</v>
      </c>
      <c r="U3" s="5">
        <v>1</v>
      </c>
      <c r="V3" s="5">
        <v>1</v>
      </c>
      <c r="W3" s="5">
        <v>1</v>
      </c>
      <c r="X3" s="5">
        <v>1</v>
      </c>
      <c r="Y3" s="5">
        <v>1</v>
      </c>
      <c r="Z3" s="5"/>
      <c r="AA3" s="5"/>
      <c r="AB3" s="5"/>
      <c r="AC3" s="5"/>
      <c r="AD3" s="5">
        <v>1</v>
      </c>
      <c r="AE3" s="5"/>
      <c r="AF3" s="5"/>
      <c r="AG3" s="5"/>
      <c r="AH3" s="5"/>
      <c r="AI3" s="5"/>
      <c r="AJ3" s="5" t="str">
        <f t="shared" si="0"/>
        <v>Customisation Budget: under 500</v>
      </c>
      <c r="AK3" s="5" t="str">
        <f t="shared" si="1"/>
        <v>Personalisation Budget: under 500</v>
      </c>
      <c r="AL3" s="5">
        <v>1</v>
      </c>
      <c r="AM3" s="5"/>
      <c r="AN3" s="5"/>
      <c r="AO3" s="5"/>
      <c r="AP3" s="5"/>
      <c r="AQ3" s="5">
        <v>1</v>
      </c>
      <c r="AR3" s="5"/>
      <c r="AS3" s="5">
        <v>1</v>
      </c>
      <c r="AT3" s="5"/>
      <c r="AU3" s="5"/>
      <c r="AV3" s="5">
        <v>1</v>
      </c>
      <c r="AW3" s="5"/>
      <c r="AX3" s="5"/>
      <c r="AY3" s="5" t="str">
        <f t="shared" si="2"/>
        <v>Customisation likelihood: Likely</v>
      </c>
      <c r="AZ3" s="5" t="str">
        <f t="shared" si="3"/>
        <v>Interest in personalising car components: Only with professional help</v>
      </c>
      <c r="BA3" s="5" t="str">
        <f t="shared" si="4"/>
        <v>3D design experience: No, I would need a designer to model my sketch</v>
      </c>
      <c r="BB3" s="5"/>
      <c r="BC3" s="5">
        <v>1</v>
      </c>
      <c r="BD3" s="5"/>
      <c r="BE3" s="5"/>
      <c r="BF3" s="5"/>
      <c r="BG3" s="5"/>
      <c r="BH3" s="5">
        <v>1</v>
      </c>
      <c r="BI3" s="5"/>
      <c r="BJ3" s="5"/>
      <c r="BK3" s="5">
        <v>1</v>
      </c>
      <c r="BL3" s="5"/>
      <c r="BM3" s="5"/>
      <c r="BN3" s="5">
        <v>1</v>
      </c>
      <c r="BO3" s="5"/>
      <c r="BP3" s="5"/>
      <c r="BQ3" s="5">
        <v>1</v>
      </c>
      <c r="BR3" s="5"/>
    </row>
    <row r="4" spans="1:70" s="2" customFormat="1" ht="40" customHeight="1" thickBot="1" x14ac:dyDescent="0.35">
      <c r="A4" s="1" t="s">
        <v>0</v>
      </c>
      <c r="B4" s="1" t="s">
        <v>1</v>
      </c>
      <c r="C4" s="1" t="s">
        <v>2</v>
      </c>
      <c r="D4" s="1" t="s">
        <v>3</v>
      </c>
      <c r="E4" s="1" t="s">
        <v>23</v>
      </c>
      <c r="F4" s="1" t="s">
        <v>5</v>
      </c>
      <c r="G4" s="1" t="s">
        <v>10</v>
      </c>
      <c r="H4" s="1" t="s">
        <v>20</v>
      </c>
      <c r="I4" s="1" t="s">
        <v>24</v>
      </c>
      <c r="J4" s="1" t="s">
        <v>16</v>
      </c>
      <c r="K4" s="1" t="s">
        <v>10</v>
      </c>
      <c r="L4" s="1" t="s">
        <v>25</v>
      </c>
      <c r="M4" s="10"/>
      <c r="N4" s="1"/>
      <c r="O4" s="1">
        <v>1</v>
      </c>
      <c r="P4" s="1"/>
      <c r="Q4" s="1">
        <v>1</v>
      </c>
      <c r="R4" s="1"/>
      <c r="S4" s="1">
        <v>1</v>
      </c>
      <c r="T4" s="1"/>
      <c r="U4" s="1"/>
      <c r="V4" s="1">
        <v>1</v>
      </c>
      <c r="W4" s="1">
        <v>1</v>
      </c>
      <c r="X4" s="1">
        <v>1</v>
      </c>
      <c r="Y4" s="1">
        <v>1</v>
      </c>
      <c r="Z4" s="1"/>
      <c r="AA4" s="1"/>
      <c r="AB4" s="1"/>
      <c r="AC4" s="1"/>
      <c r="AD4" s="1"/>
      <c r="AE4" s="1">
        <v>1</v>
      </c>
      <c r="AF4" s="1">
        <v>1</v>
      </c>
      <c r="AG4" s="1"/>
      <c r="AH4" s="1"/>
      <c r="AI4" s="1"/>
      <c r="AJ4" s="1" t="str">
        <f t="shared" si="0"/>
        <v>Customisation Budget: 500-1000</v>
      </c>
      <c r="AK4" s="1" t="str">
        <f t="shared" si="1"/>
        <v>Personalisation Budget: 500-1000</v>
      </c>
      <c r="AL4" s="1">
        <v>1</v>
      </c>
      <c r="AM4" s="1"/>
      <c r="AN4" s="1"/>
      <c r="AO4" s="1"/>
      <c r="AP4" s="1">
        <v>1</v>
      </c>
      <c r="AQ4" s="1"/>
      <c r="AR4" s="1"/>
      <c r="AS4" s="1">
        <v>1</v>
      </c>
      <c r="AT4" s="1"/>
      <c r="AU4" s="1"/>
      <c r="AV4" s="1">
        <v>1</v>
      </c>
      <c r="AW4" s="1"/>
      <c r="AX4" s="1"/>
      <c r="AY4" s="1" t="str">
        <f t="shared" si="2"/>
        <v>Customisation likelihood: Very likely</v>
      </c>
      <c r="AZ4" s="1" t="str">
        <f t="shared" si="3"/>
        <v>Interest in personalising car components: Yes</v>
      </c>
      <c r="BA4" s="1" t="str">
        <f t="shared" si="4"/>
        <v>3D design experience: Yes, I can design on my own</v>
      </c>
      <c r="BB4" s="21"/>
      <c r="BC4" s="21"/>
      <c r="BD4" s="21">
        <v>1</v>
      </c>
      <c r="BE4" s="21"/>
      <c r="BF4" s="21"/>
      <c r="BG4" s="21">
        <v>1</v>
      </c>
      <c r="BH4" s="21"/>
      <c r="BI4" s="21"/>
      <c r="BJ4" s="21"/>
      <c r="BK4" s="21"/>
      <c r="BL4" s="21">
        <v>1</v>
      </c>
      <c r="BM4" s="21"/>
      <c r="BN4" s="21"/>
      <c r="BO4" s="21">
        <v>1</v>
      </c>
      <c r="BP4" s="21"/>
      <c r="BQ4" s="21"/>
      <c r="BR4" s="21">
        <v>1</v>
      </c>
    </row>
    <row r="5" spans="1:70" s="6" customFormat="1" ht="40" customHeight="1" thickBot="1" x14ac:dyDescent="0.35">
      <c r="A5" s="5" t="s">
        <v>0</v>
      </c>
      <c r="B5" s="5" t="s">
        <v>17</v>
      </c>
      <c r="C5" s="5" t="s">
        <v>2</v>
      </c>
      <c r="D5" s="5" t="s">
        <v>3</v>
      </c>
      <c r="E5" s="5" t="s">
        <v>26</v>
      </c>
      <c r="F5" s="5" t="s">
        <v>5</v>
      </c>
      <c r="G5" s="5" t="s">
        <v>21</v>
      </c>
      <c r="H5" s="5" t="s">
        <v>27</v>
      </c>
      <c r="I5" s="5" t="s">
        <v>15</v>
      </c>
      <c r="J5" s="5" t="s">
        <v>16</v>
      </c>
      <c r="K5" s="5" t="s">
        <v>21</v>
      </c>
      <c r="L5" s="5" t="s">
        <v>11</v>
      </c>
      <c r="M5" s="12"/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>
        <v>1</v>
      </c>
      <c r="AA5" s="5"/>
      <c r="AB5" s="5"/>
      <c r="AC5" s="5"/>
      <c r="AD5" s="5">
        <v>1</v>
      </c>
      <c r="AE5" s="5">
        <v>1</v>
      </c>
      <c r="AF5" s="5">
        <v>1</v>
      </c>
      <c r="AG5" s="5">
        <v>1</v>
      </c>
      <c r="AH5" s="5"/>
      <c r="AI5" s="5"/>
      <c r="AJ5" s="5" t="str">
        <f t="shared" si="0"/>
        <v>Customisation Budget: under 500</v>
      </c>
      <c r="AK5" s="5" t="str">
        <f t="shared" si="1"/>
        <v>Personalisation Budget: under 500</v>
      </c>
      <c r="AL5" s="5">
        <v>1</v>
      </c>
      <c r="AM5" s="5"/>
      <c r="AN5" s="5"/>
      <c r="AO5" s="5"/>
      <c r="AP5" s="5"/>
      <c r="AQ5" s="5">
        <v>1</v>
      </c>
      <c r="AR5" s="5"/>
      <c r="AS5" s="5">
        <v>1</v>
      </c>
      <c r="AT5" s="5"/>
      <c r="AU5" s="5"/>
      <c r="AV5" s="5">
        <v>1</v>
      </c>
      <c r="AW5" s="5"/>
      <c r="AX5" s="5"/>
      <c r="AY5" s="5" t="str">
        <f t="shared" si="2"/>
        <v>Customisation likelihood: Very likely</v>
      </c>
      <c r="AZ5" s="5" t="str">
        <f t="shared" si="3"/>
        <v>Interest in personalising car components: Yes</v>
      </c>
      <c r="BA5" s="5" t="str">
        <f t="shared" si="4"/>
        <v>3D design experience: No, I would need a designer to model my sketch</v>
      </c>
      <c r="BB5" s="5"/>
      <c r="BC5" s="5">
        <v>1</v>
      </c>
      <c r="BD5" s="5"/>
      <c r="BE5" s="5"/>
      <c r="BF5" s="5"/>
      <c r="BG5" s="5"/>
      <c r="BH5" s="5">
        <v>1</v>
      </c>
      <c r="BI5" s="5"/>
      <c r="BJ5" s="5"/>
      <c r="BK5" s="5"/>
      <c r="BL5" s="5">
        <v>1</v>
      </c>
      <c r="BM5" s="5"/>
      <c r="BN5" s="5"/>
      <c r="BO5" s="5">
        <v>1</v>
      </c>
      <c r="BP5" s="5"/>
      <c r="BQ5" s="5">
        <v>1</v>
      </c>
      <c r="BR5" s="5"/>
    </row>
    <row r="6" spans="1:70" s="2" customFormat="1" ht="40" customHeight="1" thickBot="1" x14ac:dyDescent="0.35">
      <c r="A6" s="1" t="s">
        <v>0</v>
      </c>
      <c r="B6" s="1" t="s">
        <v>1</v>
      </c>
      <c r="C6" s="1" t="s">
        <v>2</v>
      </c>
      <c r="D6" s="1" t="s">
        <v>3</v>
      </c>
      <c r="E6" s="1" t="s">
        <v>28</v>
      </c>
      <c r="F6" s="1" t="s">
        <v>5</v>
      </c>
      <c r="G6" s="1" t="s">
        <v>13</v>
      </c>
      <c r="H6" s="1" t="s">
        <v>29</v>
      </c>
      <c r="I6" s="1" t="s">
        <v>30</v>
      </c>
      <c r="J6" s="1" t="s">
        <v>9</v>
      </c>
      <c r="K6" s="1" t="s">
        <v>13</v>
      </c>
      <c r="L6" s="1" t="s">
        <v>11</v>
      </c>
      <c r="M6" s="10" t="s">
        <v>31</v>
      </c>
      <c r="N6" s="1">
        <v>1</v>
      </c>
      <c r="O6" s="1">
        <v>1</v>
      </c>
      <c r="P6" s="1"/>
      <c r="Q6" s="1"/>
      <c r="R6" s="1">
        <v>1</v>
      </c>
      <c r="S6" s="1">
        <v>1</v>
      </c>
      <c r="T6" s="1">
        <v>1</v>
      </c>
      <c r="U6" s="1"/>
      <c r="V6" s="1">
        <v>1</v>
      </c>
      <c r="W6" s="1">
        <v>1</v>
      </c>
      <c r="X6" s="1">
        <v>1</v>
      </c>
      <c r="Y6" s="1"/>
      <c r="Z6" s="1">
        <v>1</v>
      </c>
      <c r="AA6" s="1"/>
      <c r="AB6" s="1"/>
      <c r="AC6" s="1"/>
      <c r="AD6" s="1">
        <v>1</v>
      </c>
      <c r="AE6" s="1">
        <v>1</v>
      </c>
      <c r="AF6" s="1"/>
      <c r="AG6" s="1"/>
      <c r="AH6" s="1"/>
      <c r="AI6" s="1"/>
      <c r="AJ6" s="1" t="str">
        <f t="shared" si="0"/>
        <v>Customisation Budget: over 1000</v>
      </c>
      <c r="AK6" s="1" t="str">
        <f t="shared" si="1"/>
        <v>Personalisation Budget: over 1000</v>
      </c>
      <c r="AL6" s="1">
        <v>1</v>
      </c>
      <c r="AM6" s="1"/>
      <c r="AN6" s="1"/>
      <c r="AO6" s="1"/>
      <c r="AP6" s="1">
        <v>1</v>
      </c>
      <c r="AQ6" s="1"/>
      <c r="AR6" s="1"/>
      <c r="AS6" s="1">
        <v>1</v>
      </c>
      <c r="AT6" s="1"/>
      <c r="AU6" s="1"/>
      <c r="AV6" s="1">
        <v>1</v>
      </c>
      <c r="AW6" s="1"/>
      <c r="AX6" s="1"/>
      <c r="AY6" s="1" t="str">
        <f t="shared" si="2"/>
        <v>Customisation likelihood: Very likely</v>
      </c>
      <c r="AZ6" s="1" t="str">
        <f t="shared" si="3"/>
        <v>Interest in personalising car components: Only with professional help</v>
      </c>
      <c r="BA6" s="1" t="str">
        <f t="shared" si="4"/>
        <v>3D design experience: No, I would need a designer to model my sketch</v>
      </c>
      <c r="BB6" s="21"/>
      <c r="BC6" s="21"/>
      <c r="BD6" s="21"/>
      <c r="BE6" s="21">
        <v>1</v>
      </c>
      <c r="BF6" s="21"/>
      <c r="BG6" s="21"/>
      <c r="BH6" s="21"/>
      <c r="BI6" s="21">
        <v>1</v>
      </c>
      <c r="BJ6" s="21"/>
      <c r="BK6" s="21"/>
      <c r="BL6" s="21">
        <v>1</v>
      </c>
      <c r="BM6" s="21"/>
      <c r="BN6" s="21">
        <v>1</v>
      </c>
      <c r="BO6" s="21"/>
      <c r="BP6" s="21"/>
      <c r="BQ6" s="21">
        <v>1</v>
      </c>
      <c r="BR6" s="21"/>
    </row>
    <row r="7" spans="1:70" s="6" customFormat="1" ht="40" customHeight="1" thickBot="1" x14ac:dyDescent="0.35">
      <c r="A7" s="5" t="s">
        <v>0</v>
      </c>
      <c r="B7" s="5" t="s">
        <v>1</v>
      </c>
      <c r="C7" s="5" t="s">
        <v>37</v>
      </c>
      <c r="D7" s="5" t="s">
        <v>3</v>
      </c>
      <c r="E7" s="5" t="s">
        <v>38</v>
      </c>
      <c r="F7" s="5" t="s">
        <v>19</v>
      </c>
      <c r="G7" s="5" t="s">
        <v>10</v>
      </c>
      <c r="H7" s="5" t="s">
        <v>39</v>
      </c>
      <c r="I7" s="5" t="s">
        <v>40</v>
      </c>
      <c r="J7" s="5" t="s">
        <v>9</v>
      </c>
      <c r="K7" s="5" t="s">
        <v>10</v>
      </c>
      <c r="L7" s="5" t="s">
        <v>11</v>
      </c>
      <c r="M7" s="12"/>
      <c r="N7" s="5">
        <v>1</v>
      </c>
      <c r="O7" s="5">
        <v>1</v>
      </c>
      <c r="P7" s="5">
        <v>1</v>
      </c>
      <c r="Q7" s="5"/>
      <c r="R7" s="5">
        <v>1</v>
      </c>
      <c r="S7" s="5">
        <v>1</v>
      </c>
      <c r="T7" s="5">
        <v>1</v>
      </c>
      <c r="U7" s="5"/>
      <c r="V7" s="5"/>
      <c r="W7" s="5">
        <v>1</v>
      </c>
      <c r="X7" s="5"/>
      <c r="Y7" s="5"/>
      <c r="Z7" s="5">
        <v>1</v>
      </c>
      <c r="AA7" s="5"/>
      <c r="AB7" s="5"/>
      <c r="AC7" s="5"/>
      <c r="AD7" s="5">
        <v>1</v>
      </c>
      <c r="AE7" s="5"/>
      <c r="AF7" s="5">
        <v>1</v>
      </c>
      <c r="AG7" s="5"/>
      <c r="AH7" s="5"/>
      <c r="AI7" s="5"/>
      <c r="AJ7" s="5" t="str">
        <f t="shared" si="0"/>
        <v>Customisation Budget: 500-1000</v>
      </c>
      <c r="AK7" s="5" t="str">
        <f t="shared" si="1"/>
        <v>Personalisation Budget: 500-1000</v>
      </c>
      <c r="AL7" s="5">
        <v>1</v>
      </c>
      <c r="AM7" s="5"/>
      <c r="AN7" s="5"/>
      <c r="AO7" s="5"/>
      <c r="AP7" s="5">
        <v>1</v>
      </c>
      <c r="AQ7" s="5"/>
      <c r="AR7" s="5"/>
      <c r="AS7" s="5"/>
      <c r="AT7" s="5">
        <v>1</v>
      </c>
      <c r="AU7" s="5"/>
      <c r="AV7" s="5">
        <v>1</v>
      </c>
      <c r="AW7" s="5"/>
      <c r="AX7" s="5"/>
      <c r="AY7" s="5" t="str">
        <f t="shared" si="2"/>
        <v>Customisation likelihood: Likely</v>
      </c>
      <c r="AZ7" s="5" t="str">
        <f t="shared" si="3"/>
        <v>Interest in personalising car components: Only with professional help</v>
      </c>
      <c r="BA7" s="5" t="str">
        <f t="shared" si="4"/>
        <v>3D design experience: No, I would need a designer to model my sketch</v>
      </c>
      <c r="BB7" s="5"/>
      <c r="BC7" s="5"/>
      <c r="BD7" s="5">
        <v>1</v>
      </c>
      <c r="BE7" s="5"/>
      <c r="BF7" s="5"/>
      <c r="BG7" s="5">
        <v>1</v>
      </c>
      <c r="BH7" s="5"/>
      <c r="BI7" s="5"/>
      <c r="BJ7" s="5"/>
      <c r="BK7" s="5">
        <v>1</v>
      </c>
      <c r="BL7" s="5"/>
      <c r="BM7" s="5"/>
      <c r="BN7" s="5">
        <v>1</v>
      </c>
      <c r="BO7" s="5"/>
      <c r="BP7" s="5"/>
      <c r="BQ7" s="5">
        <v>1</v>
      </c>
      <c r="BR7" s="5"/>
    </row>
    <row r="8" spans="1:70" s="2" customFormat="1" ht="40" customHeight="1" thickBot="1" x14ac:dyDescent="0.35">
      <c r="A8" s="1" t="s">
        <v>0</v>
      </c>
      <c r="B8" s="1" t="s">
        <v>1</v>
      </c>
      <c r="C8" s="1" t="s">
        <v>2</v>
      </c>
      <c r="D8" s="1" t="s">
        <v>3</v>
      </c>
      <c r="E8" s="1" t="s">
        <v>41</v>
      </c>
      <c r="F8" s="1" t="s">
        <v>5</v>
      </c>
      <c r="G8" s="1" t="s">
        <v>10</v>
      </c>
      <c r="H8" s="1" t="s">
        <v>42</v>
      </c>
      <c r="I8" s="1" t="s">
        <v>24</v>
      </c>
      <c r="J8" s="1" t="s">
        <v>36</v>
      </c>
      <c r="K8" s="1" t="s">
        <v>10</v>
      </c>
      <c r="L8" s="1" t="s">
        <v>11</v>
      </c>
      <c r="M8" s="10"/>
      <c r="N8" s="1">
        <v>1</v>
      </c>
      <c r="O8" s="1">
        <v>1</v>
      </c>
      <c r="P8" s="1"/>
      <c r="Q8" s="1"/>
      <c r="R8" s="1"/>
      <c r="S8" s="1"/>
      <c r="T8" s="1">
        <v>1</v>
      </c>
      <c r="U8" s="1"/>
      <c r="V8" s="1">
        <v>1</v>
      </c>
      <c r="W8" s="1">
        <v>1</v>
      </c>
      <c r="X8" s="1"/>
      <c r="Y8" s="1"/>
      <c r="Z8" s="1"/>
      <c r="AA8" s="1"/>
      <c r="AB8" s="1"/>
      <c r="AC8" s="1"/>
      <c r="AD8" s="1"/>
      <c r="AE8" s="1">
        <v>1</v>
      </c>
      <c r="AF8" s="1">
        <v>1</v>
      </c>
      <c r="AG8" s="1"/>
      <c r="AH8" s="1"/>
      <c r="AI8" s="1"/>
      <c r="AJ8" s="1" t="str">
        <f t="shared" si="0"/>
        <v>Customisation Budget: 500-1000</v>
      </c>
      <c r="AK8" s="1" t="str">
        <f t="shared" si="1"/>
        <v>Personalisation Budget: 500-1000</v>
      </c>
      <c r="AL8" s="1">
        <v>1</v>
      </c>
      <c r="AM8" s="1"/>
      <c r="AN8" s="1"/>
      <c r="AO8" s="1"/>
      <c r="AP8" s="1">
        <v>1</v>
      </c>
      <c r="AQ8" s="1"/>
      <c r="AR8" s="1"/>
      <c r="AS8" s="1">
        <v>1</v>
      </c>
      <c r="AT8" s="1"/>
      <c r="AU8" s="1"/>
      <c r="AV8" s="1">
        <v>1</v>
      </c>
      <c r="AW8" s="1"/>
      <c r="AX8" s="1"/>
      <c r="AY8" s="1" t="str">
        <f t="shared" si="2"/>
        <v>Customisation likelihood: Very likely</v>
      </c>
      <c r="AZ8" s="1" t="str">
        <f t="shared" si="3"/>
        <v>Interest in personalising car components: No</v>
      </c>
      <c r="BA8" s="1" t="str">
        <f t="shared" si="4"/>
        <v>3D design experience: No, I would need a designer to model my sketch</v>
      </c>
      <c r="BB8" s="21"/>
      <c r="BC8" s="21"/>
      <c r="BD8" s="21">
        <v>1</v>
      </c>
      <c r="BE8" s="21"/>
      <c r="BF8" s="21"/>
      <c r="BG8" s="21">
        <v>1</v>
      </c>
      <c r="BH8" s="21"/>
      <c r="BI8" s="21"/>
      <c r="BJ8" s="21"/>
      <c r="BK8" s="21"/>
      <c r="BL8" s="21">
        <v>1</v>
      </c>
      <c r="BM8" s="21"/>
      <c r="BN8" s="21"/>
      <c r="BO8" s="21"/>
      <c r="BP8" s="21">
        <v>1</v>
      </c>
      <c r="BQ8" s="21">
        <v>1</v>
      </c>
      <c r="BR8" s="21"/>
    </row>
    <row r="9" spans="1:70" s="6" customFormat="1" ht="40" customHeight="1" thickBot="1" x14ac:dyDescent="0.35">
      <c r="A9" s="5" t="s">
        <v>43</v>
      </c>
      <c r="B9" s="5" t="s">
        <v>17</v>
      </c>
      <c r="C9" s="5" t="s">
        <v>44</v>
      </c>
      <c r="D9" s="5" t="s">
        <v>45</v>
      </c>
      <c r="E9" s="5" t="s">
        <v>46</v>
      </c>
      <c r="F9" s="5" t="s">
        <v>5</v>
      </c>
      <c r="G9" s="5" t="s">
        <v>21</v>
      </c>
      <c r="H9" s="5" t="s">
        <v>6</v>
      </c>
      <c r="I9" s="5" t="s">
        <v>47</v>
      </c>
      <c r="J9" s="5" t="s">
        <v>9</v>
      </c>
      <c r="K9" s="5" t="s">
        <v>13</v>
      </c>
      <c r="L9" s="5" t="s">
        <v>11</v>
      </c>
      <c r="M9" s="12" t="s">
        <v>48</v>
      </c>
      <c r="N9" s="5">
        <v>1</v>
      </c>
      <c r="O9" s="5">
        <v>1</v>
      </c>
      <c r="P9" s="5"/>
      <c r="Q9" s="5"/>
      <c r="R9" s="5">
        <v>1</v>
      </c>
      <c r="S9" s="5"/>
      <c r="T9" s="5"/>
      <c r="U9" s="5"/>
      <c r="V9" s="5">
        <v>1</v>
      </c>
      <c r="W9" s="5"/>
      <c r="X9" s="5"/>
      <c r="Y9" s="5"/>
      <c r="Z9" s="5"/>
      <c r="AA9" s="5"/>
      <c r="AB9" s="5"/>
      <c r="AC9" s="5"/>
      <c r="AD9" s="5">
        <v>1</v>
      </c>
      <c r="AE9" s="5"/>
      <c r="AF9" s="5">
        <v>1</v>
      </c>
      <c r="AG9" s="5"/>
      <c r="AH9" s="5">
        <v>1</v>
      </c>
      <c r="AI9" s="5"/>
      <c r="AJ9" s="5" t="str">
        <f t="shared" si="0"/>
        <v>Customisation Budget: under 500</v>
      </c>
      <c r="AK9" s="5" t="str">
        <f t="shared" si="1"/>
        <v>Personalisation Budget: over 1000</v>
      </c>
      <c r="AL9" s="5"/>
      <c r="AM9" s="5">
        <v>1</v>
      </c>
      <c r="AN9" s="5"/>
      <c r="AO9" s="5"/>
      <c r="AP9" s="5"/>
      <c r="AQ9" s="5">
        <v>1</v>
      </c>
      <c r="AR9" s="5"/>
      <c r="AS9" s="5"/>
      <c r="AT9" s="5"/>
      <c r="AU9" s="5">
        <v>1</v>
      </c>
      <c r="AV9" s="5"/>
      <c r="AW9" s="5">
        <v>1</v>
      </c>
      <c r="AX9" s="5"/>
      <c r="AY9" s="5" t="str">
        <f t="shared" si="2"/>
        <v>Customisation likelihood: Very likely</v>
      </c>
      <c r="AZ9" s="5" t="str">
        <f t="shared" si="3"/>
        <v>Interest in personalising car components: Only with professional help</v>
      </c>
      <c r="BA9" s="5" t="str">
        <f t="shared" si="4"/>
        <v>3D design experience: No, I would need a designer to model my sketch</v>
      </c>
      <c r="BB9" s="5"/>
      <c r="BC9" s="5">
        <v>1</v>
      </c>
      <c r="BD9" s="5"/>
      <c r="BE9" s="5"/>
      <c r="BF9" s="5"/>
      <c r="BG9" s="5"/>
      <c r="BH9" s="5"/>
      <c r="BI9" s="5">
        <v>1</v>
      </c>
      <c r="BJ9" s="5"/>
      <c r="BK9" s="5"/>
      <c r="BL9" s="5">
        <v>1</v>
      </c>
      <c r="BM9" s="5"/>
      <c r="BN9" s="5">
        <v>1</v>
      </c>
      <c r="BO9" s="5"/>
      <c r="BP9" s="5"/>
      <c r="BQ9" s="5">
        <v>1</v>
      </c>
      <c r="BR9" s="5"/>
    </row>
    <row r="10" spans="1:70" s="2" customFormat="1" ht="40" customHeight="1" thickBot="1" x14ac:dyDescent="0.35">
      <c r="A10" s="1" t="s">
        <v>0</v>
      </c>
      <c r="B10" s="1" t="s">
        <v>1</v>
      </c>
      <c r="C10" s="1" t="s">
        <v>44</v>
      </c>
      <c r="D10" s="1" t="s">
        <v>3</v>
      </c>
      <c r="E10" s="1" t="s">
        <v>49</v>
      </c>
      <c r="F10" s="1" t="s">
        <v>5</v>
      </c>
      <c r="G10" s="1">
        <v>0</v>
      </c>
      <c r="H10" s="1"/>
      <c r="I10" s="1" t="s">
        <v>15</v>
      </c>
      <c r="J10" s="1" t="s">
        <v>9</v>
      </c>
      <c r="K10" s="1">
        <v>0</v>
      </c>
      <c r="L10" s="1" t="s">
        <v>11</v>
      </c>
      <c r="M10" s="10"/>
      <c r="N10" s="1">
        <v>1</v>
      </c>
      <c r="O10" s="1">
        <v>1</v>
      </c>
      <c r="P10" s="1">
        <v>1</v>
      </c>
      <c r="Q10" s="1"/>
      <c r="R10" s="1">
        <v>1</v>
      </c>
      <c r="S10" s="1">
        <v>1</v>
      </c>
      <c r="T10" s="1"/>
      <c r="U10" s="1"/>
      <c r="V10" s="1"/>
      <c r="W10" s="1"/>
      <c r="X10" s="1"/>
      <c r="Y10" s="1"/>
      <c r="Z10" s="1"/>
      <c r="AA10" s="1"/>
      <c r="AB10" s="1"/>
      <c r="AC10" s="1"/>
      <c r="AD10" s="1">
        <v>1</v>
      </c>
      <c r="AE10" s="1">
        <v>1</v>
      </c>
      <c r="AF10" s="1">
        <v>1</v>
      </c>
      <c r="AG10" s="1">
        <v>1</v>
      </c>
      <c r="AH10" s="1"/>
      <c r="AI10" s="1"/>
      <c r="AJ10" s="1" t="str">
        <f t="shared" si="0"/>
        <v>Customisation Budget: 0</v>
      </c>
      <c r="AK10" s="1" t="str">
        <f t="shared" si="1"/>
        <v>Personalisation Budget: 0</v>
      </c>
      <c r="AL10" s="1">
        <v>1</v>
      </c>
      <c r="AM10" s="1"/>
      <c r="AN10" s="1"/>
      <c r="AO10" s="1"/>
      <c r="AP10" s="1">
        <v>1</v>
      </c>
      <c r="AQ10" s="1"/>
      <c r="AR10" s="1"/>
      <c r="AS10" s="1"/>
      <c r="AT10" s="1"/>
      <c r="AU10" s="1">
        <v>1</v>
      </c>
      <c r="AV10" s="1">
        <v>1</v>
      </c>
      <c r="AW10" s="1"/>
      <c r="AX10" s="1"/>
      <c r="AY10" s="1" t="str">
        <f t="shared" si="2"/>
        <v>Customisation likelihood: Very likely</v>
      </c>
      <c r="AZ10" s="1" t="str">
        <f t="shared" si="3"/>
        <v>Interest in personalising car components: Only with professional help</v>
      </c>
      <c r="BA10" s="1" t="str">
        <f t="shared" si="4"/>
        <v>3D design experience: No, I would need a designer to model my sketch</v>
      </c>
      <c r="BB10" s="21"/>
      <c r="BC10" s="21"/>
      <c r="BD10" s="21"/>
      <c r="BE10" s="21"/>
      <c r="BF10" s="21">
        <v>1</v>
      </c>
      <c r="BG10" s="21"/>
      <c r="BH10" s="21"/>
      <c r="BI10" s="21"/>
      <c r="BJ10" s="21">
        <v>1</v>
      </c>
      <c r="BK10" s="21"/>
      <c r="BL10" s="21">
        <v>1</v>
      </c>
      <c r="BM10" s="21"/>
      <c r="BN10" s="21">
        <v>1</v>
      </c>
      <c r="BO10" s="21"/>
      <c r="BP10" s="21"/>
      <c r="BQ10" s="21">
        <v>1</v>
      </c>
      <c r="BR10" s="21"/>
    </row>
    <row r="11" spans="1:70" s="6" customFormat="1" ht="40" customHeight="1" thickBot="1" x14ac:dyDescent="0.35">
      <c r="A11" s="5" t="s">
        <v>69</v>
      </c>
      <c r="B11" s="5" t="s">
        <v>1</v>
      </c>
      <c r="C11" s="5" t="s">
        <v>44</v>
      </c>
      <c r="D11" s="5" t="s">
        <v>3</v>
      </c>
      <c r="E11" s="5" t="s">
        <v>35</v>
      </c>
      <c r="F11" s="5" t="s">
        <v>5</v>
      </c>
      <c r="G11" s="5" t="s">
        <v>21</v>
      </c>
      <c r="H11" s="5" t="s">
        <v>14</v>
      </c>
      <c r="I11" s="5" t="s">
        <v>64</v>
      </c>
      <c r="J11" s="5" t="s">
        <v>16</v>
      </c>
      <c r="K11" s="5" t="s">
        <v>21</v>
      </c>
      <c r="L11" s="5" t="s">
        <v>11</v>
      </c>
      <c r="M11" s="12"/>
      <c r="N11" s="5">
        <v>1</v>
      </c>
      <c r="O11" s="5"/>
      <c r="P11" s="5"/>
      <c r="Q11" s="5"/>
      <c r="R11" s="5"/>
      <c r="S11" s="5"/>
      <c r="T11" s="5"/>
      <c r="U11" s="5"/>
      <c r="V11" s="5"/>
      <c r="W11" s="5">
        <v>1</v>
      </c>
      <c r="X11" s="5"/>
      <c r="Y11" s="5"/>
      <c r="Z11" s="5"/>
      <c r="AA11" s="5"/>
      <c r="AB11" s="5"/>
      <c r="AC11" s="5"/>
      <c r="AD11" s="5"/>
      <c r="AE11" s="5">
        <v>1</v>
      </c>
      <c r="AF11" s="5"/>
      <c r="AG11" s="5"/>
      <c r="AH11" s="5"/>
      <c r="AI11" s="5"/>
      <c r="AJ11" s="5" t="str">
        <f t="shared" si="0"/>
        <v>Customisation Budget: under 500</v>
      </c>
      <c r="AK11" s="5" t="str">
        <f t="shared" si="1"/>
        <v>Personalisation Budget: under 500</v>
      </c>
      <c r="AL11" s="5"/>
      <c r="AM11" s="5"/>
      <c r="AN11" s="5">
        <v>1</v>
      </c>
      <c r="AO11" s="5"/>
      <c r="AP11" s="5">
        <v>1</v>
      </c>
      <c r="AQ11" s="5"/>
      <c r="AR11" s="5"/>
      <c r="AS11" s="5"/>
      <c r="AT11" s="5"/>
      <c r="AU11" s="5">
        <v>1</v>
      </c>
      <c r="AV11" s="5">
        <v>1</v>
      </c>
      <c r="AW11" s="5"/>
      <c r="AX11" s="5"/>
      <c r="AY11" s="5" t="str">
        <f t="shared" si="2"/>
        <v>Customisation likelihood: Very likely</v>
      </c>
      <c r="AZ11" s="5" t="str">
        <f t="shared" si="3"/>
        <v>Interest in personalising car components: Yes</v>
      </c>
      <c r="BA11" s="5" t="str">
        <f t="shared" si="4"/>
        <v>3D design experience: No, I would need a designer to model my sketch</v>
      </c>
      <c r="BB11" s="5"/>
      <c r="BC11" s="5">
        <v>1</v>
      </c>
      <c r="BD11" s="5"/>
      <c r="BE11" s="5"/>
      <c r="BF11" s="5"/>
      <c r="BG11" s="5"/>
      <c r="BH11" s="5">
        <v>1</v>
      </c>
      <c r="BI11" s="5"/>
      <c r="BJ11" s="5"/>
      <c r="BK11" s="5"/>
      <c r="BL11" s="5">
        <v>1</v>
      </c>
      <c r="BM11" s="5"/>
      <c r="BN11" s="5"/>
      <c r="BO11" s="5">
        <v>1</v>
      </c>
      <c r="BP11" s="5"/>
      <c r="BQ11" s="5">
        <v>1</v>
      </c>
      <c r="BR11" s="5"/>
    </row>
    <row r="12" spans="1:70" s="2" customFormat="1" ht="40" customHeight="1" thickBot="1" x14ac:dyDescent="0.35">
      <c r="A12" s="1" t="s">
        <v>0</v>
      </c>
      <c r="B12" s="1" t="s">
        <v>1</v>
      </c>
      <c r="C12" s="1" t="s">
        <v>2</v>
      </c>
      <c r="D12" s="1" t="s">
        <v>3</v>
      </c>
      <c r="E12" s="1" t="s">
        <v>33</v>
      </c>
      <c r="F12" s="1" t="s">
        <v>5</v>
      </c>
      <c r="G12" s="1" t="s">
        <v>21</v>
      </c>
      <c r="H12" s="1" t="s">
        <v>52</v>
      </c>
      <c r="I12" s="1" t="s">
        <v>50</v>
      </c>
      <c r="J12" s="1" t="s">
        <v>9</v>
      </c>
      <c r="K12" s="1">
        <v>0</v>
      </c>
      <c r="L12" s="1" t="s">
        <v>11</v>
      </c>
      <c r="M12" s="10"/>
      <c r="N12" s="1">
        <v>1</v>
      </c>
      <c r="O12" s="1"/>
      <c r="P12" s="1">
        <v>1</v>
      </c>
      <c r="Q12" s="1"/>
      <c r="R12" s="1">
        <v>1</v>
      </c>
      <c r="S12" s="1">
        <v>1</v>
      </c>
      <c r="T12" s="1"/>
      <c r="U12" s="1"/>
      <c r="V12" s="1"/>
      <c r="W12" s="1">
        <v>1</v>
      </c>
      <c r="X12" s="1">
        <v>1</v>
      </c>
      <c r="Y12" s="1">
        <v>1</v>
      </c>
      <c r="Z12" s="1"/>
      <c r="AA12" s="1"/>
      <c r="AB12" s="1"/>
      <c r="AC12" s="1"/>
      <c r="AD12" s="1">
        <v>1</v>
      </c>
      <c r="AE12" s="1">
        <v>1</v>
      </c>
      <c r="AF12" s="1">
        <v>1</v>
      </c>
      <c r="AG12" s="1"/>
      <c r="AH12" s="1"/>
      <c r="AI12" s="1"/>
      <c r="AJ12" s="1" t="str">
        <f t="shared" si="0"/>
        <v>Customisation Budget: under 500</v>
      </c>
      <c r="AK12" s="1" t="str">
        <f t="shared" si="1"/>
        <v>Personalisation Budget: 0</v>
      </c>
      <c r="AL12" s="1">
        <v>1</v>
      </c>
      <c r="AM12" s="1"/>
      <c r="AN12" s="1"/>
      <c r="AO12" s="1"/>
      <c r="AP12" s="1">
        <v>1</v>
      </c>
      <c r="AQ12" s="1"/>
      <c r="AR12" s="1"/>
      <c r="AS12" s="1">
        <v>1</v>
      </c>
      <c r="AT12" s="1"/>
      <c r="AU12" s="1"/>
      <c r="AV12" s="1">
        <v>1</v>
      </c>
      <c r="AW12" s="1"/>
      <c r="AX12" s="1"/>
      <c r="AY12" s="1" t="str">
        <f t="shared" si="2"/>
        <v>Customisation likelihood: Very likely</v>
      </c>
      <c r="AZ12" s="1" t="str">
        <f t="shared" si="3"/>
        <v>Interest in personalising car components: Only with professional help</v>
      </c>
      <c r="BA12" s="1" t="str">
        <f t="shared" si="4"/>
        <v>3D design experience: No, I would need a designer to model my sketch</v>
      </c>
      <c r="BB12" s="21"/>
      <c r="BC12" s="21">
        <v>1</v>
      </c>
      <c r="BD12" s="21"/>
      <c r="BE12" s="21"/>
      <c r="BF12" s="21"/>
      <c r="BG12" s="21"/>
      <c r="BH12" s="21"/>
      <c r="BI12" s="21"/>
      <c r="BJ12" s="21">
        <v>1</v>
      </c>
      <c r="BK12" s="21"/>
      <c r="BL12" s="21">
        <v>1</v>
      </c>
      <c r="BM12" s="21"/>
      <c r="BN12" s="21">
        <v>1</v>
      </c>
      <c r="BO12" s="21"/>
      <c r="BP12" s="21"/>
      <c r="BQ12" s="21">
        <v>1</v>
      </c>
      <c r="BR12" s="21"/>
    </row>
    <row r="13" spans="1:70" s="6" customFormat="1" ht="40" customHeight="1" thickBot="1" x14ac:dyDescent="0.35">
      <c r="A13" s="5" t="s">
        <v>0</v>
      </c>
      <c r="B13" s="5" t="s">
        <v>17</v>
      </c>
      <c r="C13" s="5" t="s">
        <v>2</v>
      </c>
      <c r="D13" s="5" t="s">
        <v>3</v>
      </c>
      <c r="E13" s="5" t="s">
        <v>70</v>
      </c>
      <c r="F13" s="5" t="s">
        <v>5</v>
      </c>
      <c r="G13" s="5" t="s">
        <v>21</v>
      </c>
      <c r="H13" s="5" t="s">
        <v>56</v>
      </c>
      <c r="I13" s="5" t="s">
        <v>60</v>
      </c>
      <c r="J13" s="5" t="s">
        <v>9</v>
      </c>
      <c r="K13" s="5" t="s">
        <v>21</v>
      </c>
      <c r="L13" s="5" t="s">
        <v>11</v>
      </c>
      <c r="M13" s="12"/>
      <c r="N13" s="5">
        <v>1</v>
      </c>
      <c r="O13" s="5"/>
      <c r="P13" s="5">
        <v>1</v>
      </c>
      <c r="Q13" s="5"/>
      <c r="R13" s="5">
        <v>1</v>
      </c>
      <c r="S13" s="5">
        <v>1</v>
      </c>
      <c r="T13" s="5">
        <v>1</v>
      </c>
      <c r="U13" s="5"/>
      <c r="V13" s="5"/>
      <c r="W13" s="5"/>
      <c r="X13" s="5"/>
      <c r="Y13" s="5">
        <v>1</v>
      </c>
      <c r="Z13" s="5"/>
      <c r="AA13" s="5"/>
      <c r="AB13" s="5"/>
      <c r="AC13" s="5"/>
      <c r="AD13" s="5"/>
      <c r="AE13" s="5"/>
      <c r="AF13" s="5">
        <v>1</v>
      </c>
      <c r="AG13" s="5"/>
      <c r="AH13" s="5"/>
      <c r="AI13" s="5"/>
      <c r="AJ13" s="5" t="str">
        <f t="shared" si="0"/>
        <v>Customisation Budget: under 500</v>
      </c>
      <c r="AK13" s="5" t="str">
        <f t="shared" si="1"/>
        <v>Personalisation Budget: under 500</v>
      </c>
      <c r="AL13" s="5">
        <v>1</v>
      </c>
      <c r="AM13" s="5"/>
      <c r="AN13" s="5"/>
      <c r="AO13" s="5"/>
      <c r="AP13" s="5"/>
      <c r="AQ13" s="5">
        <v>1</v>
      </c>
      <c r="AR13" s="5"/>
      <c r="AS13" s="5">
        <v>1</v>
      </c>
      <c r="AT13" s="5"/>
      <c r="AU13" s="5"/>
      <c r="AV13" s="5">
        <v>1</v>
      </c>
      <c r="AW13" s="5"/>
      <c r="AX13" s="5"/>
      <c r="AY13" s="5" t="str">
        <f t="shared" si="2"/>
        <v>Customisation likelihood: Very likely</v>
      </c>
      <c r="AZ13" s="5" t="str">
        <f t="shared" si="3"/>
        <v>Interest in personalising car components: Only with professional help</v>
      </c>
      <c r="BA13" s="5" t="str">
        <f t="shared" si="4"/>
        <v>3D design experience: No, I would need a designer to model my sketch</v>
      </c>
      <c r="BB13" s="5"/>
      <c r="BC13" s="5">
        <v>1</v>
      </c>
      <c r="BD13" s="5"/>
      <c r="BE13" s="5"/>
      <c r="BF13" s="5"/>
      <c r="BG13" s="5"/>
      <c r="BH13" s="5">
        <v>1</v>
      </c>
      <c r="BI13" s="5"/>
      <c r="BJ13" s="5"/>
      <c r="BK13" s="5"/>
      <c r="BL13" s="5">
        <v>1</v>
      </c>
      <c r="BM13" s="5"/>
      <c r="BN13" s="5">
        <v>1</v>
      </c>
      <c r="BO13" s="5"/>
      <c r="BP13" s="5"/>
      <c r="BQ13" s="5">
        <v>1</v>
      </c>
      <c r="BR13" s="5"/>
    </row>
    <row r="14" spans="1:70" s="2" customFormat="1" ht="40" customHeight="1" thickBot="1" x14ac:dyDescent="0.35">
      <c r="A14" s="1" t="s">
        <v>0</v>
      </c>
      <c r="B14" s="1" t="s">
        <v>17</v>
      </c>
      <c r="C14" s="1" t="s">
        <v>2</v>
      </c>
      <c r="D14" s="1" t="s">
        <v>3</v>
      </c>
      <c r="E14" s="1" t="s">
        <v>71</v>
      </c>
      <c r="F14" s="1" t="s">
        <v>5</v>
      </c>
      <c r="G14" s="1" t="s">
        <v>13</v>
      </c>
      <c r="H14" s="1" t="s">
        <v>52</v>
      </c>
      <c r="I14" s="1" t="s">
        <v>55</v>
      </c>
      <c r="J14" s="1" t="s">
        <v>16</v>
      </c>
      <c r="K14" s="1" t="s">
        <v>13</v>
      </c>
      <c r="L14" s="1" t="s">
        <v>11</v>
      </c>
      <c r="M14" s="10"/>
      <c r="N14" s="1"/>
      <c r="O14" s="1">
        <v>1</v>
      </c>
      <c r="P14" s="1"/>
      <c r="Q14" s="1"/>
      <c r="R14" s="1">
        <v>1</v>
      </c>
      <c r="S14" s="1"/>
      <c r="T14" s="1">
        <v>1</v>
      </c>
      <c r="U14" s="1">
        <v>1</v>
      </c>
      <c r="V14" s="1"/>
      <c r="W14" s="1">
        <v>1</v>
      </c>
      <c r="X14" s="1">
        <v>1</v>
      </c>
      <c r="Y14" s="1">
        <v>1</v>
      </c>
      <c r="Z14" s="1"/>
      <c r="AA14" s="1"/>
      <c r="AB14" s="1"/>
      <c r="AC14" s="1"/>
      <c r="AD14" s="1"/>
      <c r="AE14" s="1">
        <v>1</v>
      </c>
      <c r="AF14" s="1">
        <v>1</v>
      </c>
      <c r="AG14" s="1">
        <v>1</v>
      </c>
      <c r="AH14" s="1"/>
      <c r="AI14" s="1"/>
      <c r="AJ14" s="1" t="str">
        <f t="shared" si="0"/>
        <v>Customisation Budget: over 1000</v>
      </c>
      <c r="AK14" s="1" t="str">
        <f t="shared" si="1"/>
        <v>Personalisation Budget: over 1000</v>
      </c>
      <c r="AL14" s="1">
        <v>1</v>
      </c>
      <c r="AM14" s="1"/>
      <c r="AN14" s="1"/>
      <c r="AO14" s="1"/>
      <c r="AP14" s="1"/>
      <c r="AQ14" s="1">
        <v>1</v>
      </c>
      <c r="AR14" s="1"/>
      <c r="AS14" s="1">
        <v>1</v>
      </c>
      <c r="AT14" s="1"/>
      <c r="AU14" s="1"/>
      <c r="AV14" s="1">
        <v>1</v>
      </c>
      <c r="AW14" s="1"/>
      <c r="AX14" s="1"/>
      <c r="AY14" s="1" t="str">
        <f t="shared" si="2"/>
        <v>Customisation likelihood: Very likely</v>
      </c>
      <c r="AZ14" s="1" t="str">
        <f t="shared" si="3"/>
        <v>Interest in personalising car components: Yes</v>
      </c>
      <c r="BA14" s="1" t="str">
        <f t="shared" si="4"/>
        <v>3D design experience: No, I would need a designer to model my sketch</v>
      </c>
      <c r="BB14" s="21"/>
      <c r="BC14" s="21"/>
      <c r="BD14" s="21"/>
      <c r="BE14" s="21">
        <v>1</v>
      </c>
      <c r="BF14" s="21"/>
      <c r="BG14" s="21"/>
      <c r="BH14" s="21"/>
      <c r="BI14" s="21">
        <v>1</v>
      </c>
      <c r="BJ14" s="21"/>
      <c r="BK14" s="21"/>
      <c r="BL14" s="21">
        <v>1</v>
      </c>
      <c r="BM14" s="21"/>
      <c r="BN14" s="21"/>
      <c r="BO14" s="21">
        <v>1</v>
      </c>
      <c r="BP14" s="21"/>
      <c r="BQ14" s="21">
        <v>1</v>
      </c>
      <c r="BR14" s="21"/>
    </row>
    <row r="15" spans="1:70" s="6" customFormat="1" ht="40" customHeight="1" thickBot="1" x14ac:dyDescent="0.35">
      <c r="A15" s="5" t="s">
        <v>0</v>
      </c>
      <c r="B15" s="5" t="s">
        <v>1</v>
      </c>
      <c r="C15" s="5" t="s">
        <v>2</v>
      </c>
      <c r="D15" s="5" t="s">
        <v>3</v>
      </c>
      <c r="E15" s="5" t="s">
        <v>28</v>
      </c>
      <c r="F15" s="5" t="s">
        <v>5</v>
      </c>
      <c r="G15" s="5" t="s">
        <v>13</v>
      </c>
      <c r="H15" s="5" t="s">
        <v>14</v>
      </c>
      <c r="I15" s="5" t="s">
        <v>7</v>
      </c>
      <c r="J15" s="5" t="s">
        <v>36</v>
      </c>
      <c r="K15" s="5" t="s">
        <v>13</v>
      </c>
      <c r="L15" s="5" t="s">
        <v>11</v>
      </c>
      <c r="M15" s="12"/>
      <c r="N15" s="5">
        <v>1</v>
      </c>
      <c r="O15" s="5">
        <v>1</v>
      </c>
      <c r="P15" s="5"/>
      <c r="Q15" s="5"/>
      <c r="R15" s="5">
        <v>1</v>
      </c>
      <c r="S15" s="5">
        <v>1</v>
      </c>
      <c r="T15" s="5">
        <v>1</v>
      </c>
      <c r="U15" s="5"/>
      <c r="V15" s="5"/>
      <c r="W15" s="5">
        <v>1</v>
      </c>
      <c r="X15" s="5"/>
      <c r="Y15" s="5"/>
      <c r="Z15" s="5"/>
      <c r="AA15" s="5"/>
      <c r="AB15" s="5"/>
      <c r="AC15" s="5"/>
      <c r="AD15" s="5">
        <v>1</v>
      </c>
      <c r="AE15" s="5"/>
      <c r="AF15" s="5"/>
      <c r="AG15" s="5"/>
      <c r="AH15" s="5"/>
      <c r="AI15" s="5"/>
      <c r="AJ15" s="5" t="str">
        <f t="shared" si="0"/>
        <v>Customisation Budget: over 1000</v>
      </c>
      <c r="AK15" s="5" t="str">
        <f t="shared" si="1"/>
        <v>Personalisation Budget: over 1000</v>
      </c>
      <c r="AL15" s="5">
        <v>1</v>
      </c>
      <c r="AM15" s="5"/>
      <c r="AN15" s="5"/>
      <c r="AO15" s="5"/>
      <c r="AP15" s="5">
        <v>1</v>
      </c>
      <c r="AQ15" s="5"/>
      <c r="AR15" s="5"/>
      <c r="AS15" s="5">
        <v>1</v>
      </c>
      <c r="AT15" s="5"/>
      <c r="AU15" s="5"/>
      <c r="AV15" s="5">
        <v>1</v>
      </c>
      <c r="AW15" s="5"/>
      <c r="AX15" s="5"/>
      <c r="AY15" s="5" t="str">
        <f t="shared" si="2"/>
        <v>Customisation likelihood: Very likely</v>
      </c>
      <c r="AZ15" s="5" t="str">
        <f t="shared" si="3"/>
        <v>Interest in personalising car components: No</v>
      </c>
      <c r="BA15" s="5" t="str">
        <f t="shared" si="4"/>
        <v>3D design experience: No, I would need a designer to model my sketch</v>
      </c>
      <c r="BB15" s="5"/>
      <c r="BC15" s="5"/>
      <c r="BD15" s="5"/>
      <c r="BE15" s="5">
        <v>1</v>
      </c>
      <c r="BF15" s="5"/>
      <c r="BG15" s="5"/>
      <c r="BH15" s="5"/>
      <c r="BI15" s="5">
        <v>1</v>
      </c>
      <c r="BJ15" s="5"/>
      <c r="BK15" s="5"/>
      <c r="BL15" s="5">
        <v>1</v>
      </c>
      <c r="BM15" s="5"/>
      <c r="BN15" s="5"/>
      <c r="BO15" s="5"/>
      <c r="BP15" s="5">
        <v>1</v>
      </c>
      <c r="BQ15" s="5">
        <v>1</v>
      </c>
      <c r="BR15" s="5"/>
    </row>
    <row r="16" spans="1:70" s="2" customFormat="1" ht="40" customHeight="1" thickBot="1" x14ac:dyDescent="0.35">
      <c r="A16" s="1" t="s">
        <v>0</v>
      </c>
      <c r="B16" s="1" t="s">
        <v>17</v>
      </c>
      <c r="C16" s="1" t="s">
        <v>44</v>
      </c>
      <c r="D16" s="1" t="s">
        <v>3</v>
      </c>
      <c r="E16" s="1" t="s">
        <v>38</v>
      </c>
      <c r="F16" s="1" t="s">
        <v>5</v>
      </c>
      <c r="G16" s="1">
        <v>0</v>
      </c>
      <c r="H16" s="1" t="s">
        <v>72</v>
      </c>
      <c r="I16" s="1" t="s">
        <v>60</v>
      </c>
      <c r="J16" s="1" t="s">
        <v>9</v>
      </c>
      <c r="K16" s="1">
        <v>0</v>
      </c>
      <c r="L16" s="1" t="s">
        <v>11</v>
      </c>
      <c r="M16" s="10" t="s">
        <v>73</v>
      </c>
      <c r="N16" s="1">
        <v>1</v>
      </c>
      <c r="O16" s="1">
        <v>1</v>
      </c>
      <c r="P16" s="1">
        <v>1</v>
      </c>
      <c r="Q16" s="1"/>
      <c r="R16" s="1">
        <v>1</v>
      </c>
      <c r="S16" s="1">
        <v>1</v>
      </c>
      <c r="T16" s="1">
        <v>1</v>
      </c>
      <c r="U16" s="1"/>
      <c r="V16" s="1"/>
      <c r="W16" s="1"/>
      <c r="X16" s="1"/>
      <c r="Y16" s="1"/>
      <c r="Z16" s="1"/>
      <c r="AA16" s="1">
        <v>1</v>
      </c>
      <c r="AB16" s="1"/>
      <c r="AC16" s="1"/>
      <c r="AD16" s="1"/>
      <c r="AE16" s="1"/>
      <c r="AF16" s="1">
        <v>1</v>
      </c>
      <c r="AG16" s="1"/>
      <c r="AH16" s="1"/>
      <c r="AI16" s="1"/>
      <c r="AJ16" s="1" t="str">
        <f t="shared" si="0"/>
        <v>Customisation Budget: 0</v>
      </c>
      <c r="AK16" s="1" t="str">
        <f t="shared" si="1"/>
        <v>Personalisation Budget: 0</v>
      </c>
      <c r="AL16" s="1">
        <v>1</v>
      </c>
      <c r="AM16" s="1"/>
      <c r="AN16" s="1"/>
      <c r="AO16" s="1"/>
      <c r="AP16" s="1"/>
      <c r="AQ16" s="1">
        <v>1</v>
      </c>
      <c r="AR16" s="1"/>
      <c r="AS16" s="1"/>
      <c r="AT16" s="1"/>
      <c r="AU16" s="1">
        <v>1</v>
      </c>
      <c r="AV16" s="1">
        <v>1</v>
      </c>
      <c r="AW16" s="1"/>
      <c r="AX16" s="1"/>
      <c r="AY16" s="1" t="str">
        <f t="shared" si="2"/>
        <v>Customisation likelihood: Very likely</v>
      </c>
      <c r="AZ16" s="1" t="str">
        <f t="shared" si="3"/>
        <v>Interest in personalising car components: Only with professional help</v>
      </c>
      <c r="BA16" s="1" t="str">
        <f t="shared" si="4"/>
        <v>3D design experience: No, I would need a designer to model my sketch</v>
      </c>
      <c r="BB16" s="21"/>
      <c r="BC16" s="21"/>
      <c r="BD16" s="21"/>
      <c r="BE16" s="21"/>
      <c r="BF16" s="21">
        <v>1</v>
      </c>
      <c r="BG16" s="21"/>
      <c r="BH16" s="21"/>
      <c r="BI16" s="21"/>
      <c r="BJ16" s="21">
        <v>1</v>
      </c>
      <c r="BK16" s="21"/>
      <c r="BL16" s="21">
        <v>1</v>
      </c>
      <c r="BM16" s="21"/>
      <c r="BN16" s="21">
        <v>1</v>
      </c>
      <c r="BO16" s="21"/>
      <c r="BP16" s="21"/>
      <c r="BQ16" s="21">
        <v>1</v>
      </c>
      <c r="BR16" s="21"/>
    </row>
    <row r="17" spans="1:70" s="6" customFormat="1" ht="40" customHeight="1" thickBot="1" x14ac:dyDescent="0.35">
      <c r="A17" s="5" t="s">
        <v>0</v>
      </c>
      <c r="B17" s="5" t="s">
        <v>1</v>
      </c>
      <c r="C17" s="5" t="s">
        <v>44</v>
      </c>
      <c r="D17" s="5" t="s">
        <v>3</v>
      </c>
      <c r="E17" s="5" t="s">
        <v>74</v>
      </c>
      <c r="F17" s="5" t="s">
        <v>5</v>
      </c>
      <c r="G17" s="5" t="s">
        <v>10</v>
      </c>
      <c r="H17" s="5" t="s">
        <v>34</v>
      </c>
      <c r="I17" s="5" t="s">
        <v>75</v>
      </c>
      <c r="J17" s="5" t="s">
        <v>16</v>
      </c>
      <c r="K17" s="5" t="s">
        <v>21</v>
      </c>
      <c r="L17" s="5" t="s">
        <v>11</v>
      </c>
      <c r="M17" s="12" t="s">
        <v>76</v>
      </c>
      <c r="N17" s="5">
        <v>1</v>
      </c>
      <c r="O17" s="5"/>
      <c r="P17" s="5"/>
      <c r="Q17" s="5"/>
      <c r="R17" s="5"/>
      <c r="S17" s="5">
        <v>1</v>
      </c>
      <c r="T17" s="5">
        <v>1</v>
      </c>
      <c r="U17" s="5"/>
      <c r="V17" s="5"/>
      <c r="W17" s="5">
        <v>1</v>
      </c>
      <c r="X17" s="5">
        <v>1</v>
      </c>
      <c r="Y17" s="5"/>
      <c r="Z17" s="5">
        <v>1</v>
      </c>
      <c r="AA17" s="5"/>
      <c r="AB17" s="5"/>
      <c r="AC17" s="5"/>
      <c r="AD17" s="5"/>
      <c r="AE17" s="5">
        <v>1</v>
      </c>
      <c r="AF17" s="5"/>
      <c r="AG17" s="5">
        <v>1</v>
      </c>
      <c r="AH17" s="5"/>
      <c r="AI17" s="5"/>
      <c r="AJ17" s="5" t="str">
        <f t="shared" si="0"/>
        <v>Customisation Budget: 500-1000</v>
      </c>
      <c r="AK17" s="5" t="str">
        <f t="shared" si="1"/>
        <v>Personalisation Budget: under 500</v>
      </c>
      <c r="AL17" s="5">
        <v>1</v>
      </c>
      <c r="AM17" s="5"/>
      <c r="AN17" s="5"/>
      <c r="AO17" s="5"/>
      <c r="AP17" s="5">
        <v>1</v>
      </c>
      <c r="AQ17" s="5"/>
      <c r="AR17" s="5"/>
      <c r="AS17" s="5"/>
      <c r="AT17" s="5"/>
      <c r="AU17" s="5">
        <v>1</v>
      </c>
      <c r="AV17" s="5">
        <v>1</v>
      </c>
      <c r="AW17" s="5"/>
      <c r="AX17" s="5"/>
      <c r="AY17" s="5" t="str">
        <f t="shared" si="2"/>
        <v>Customisation likelihood: Very likely</v>
      </c>
      <c r="AZ17" s="5" t="str">
        <f t="shared" si="3"/>
        <v>Interest in personalising car components: Yes</v>
      </c>
      <c r="BA17" s="5" t="str">
        <f t="shared" si="4"/>
        <v>3D design experience: No, I would need a designer to model my sketch</v>
      </c>
      <c r="BB17" s="5"/>
      <c r="BC17" s="5"/>
      <c r="BD17" s="5">
        <v>1</v>
      </c>
      <c r="BE17" s="5"/>
      <c r="BF17" s="5"/>
      <c r="BG17" s="5"/>
      <c r="BH17" s="5">
        <v>1</v>
      </c>
      <c r="BI17" s="5"/>
      <c r="BJ17" s="5"/>
      <c r="BK17" s="5"/>
      <c r="BL17" s="5">
        <v>1</v>
      </c>
      <c r="BM17" s="5"/>
      <c r="BN17" s="5"/>
      <c r="BO17" s="5">
        <v>1</v>
      </c>
      <c r="BP17" s="5"/>
      <c r="BQ17" s="5">
        <v>1</v>
      </c>
      <c r="BR17" s="5"/>
    </row>
    <row r="18" spans="1:70" s="2" customFormat="1" ht="40" customHeight="1" thickBot="1" x14ac:dyDescent="0.35">
      <c r="A18" s="1" t="s">
        <v>0</v>
      </c>
      <c r="B18" s="1" t="s">
        <v>17</v>
      </c>
      <c r="C18" s="1" t="s">
        <v>2</v>
      </c>
      <c r="D18" s="1" t="s">
        <v>3</v>
      </c>
      <c r="E18" s="1" t="s">
        <v>77</v>
      </c>
      <c r="F18" s="1" t="s">
        <v>19</v>
      </c>
      <c r="G18" s="1" t="s">
        <v>13</v>
      </c>
      <c r="H18" s="1" t="s">
        <v>78</v>
      </c>
      <c r="I18" s="1" t="s">
        <v>75</v>
      </c>
      <c r="J18" s="1" t="s">
        <v>16</v>
      </c>
      <c r="K18" s="1" t="s">
        <v>13</v>
      </c>
      <c r="L18" s="1" t="s">
        <v>25</v>
      </c>
      <c r="M18" s="10"/>
      <c r="N18" s="1">
        <v>1</v>
      </c>
      <c r="O18" s="1"/>
      <c r="P18" s="1"/>
      <c r="Q18" s="1"/>
      <c r="R18" s="1"/>
      <c r="S18" s="1">
        <v>1</v>
      </c>
      <c r="T18" s="1"/>
      <c r="U18" s="1"/>
      <c r="V18" s="1"/>
      <c r="W18" s="1"/>
      <c r="X18" s="1">
        <v>1</v>
      </c>
      <c r="Y18" s="1"/>
      <c r="Z18" s="1"/>
      <c r="AA18" s="1"/>
      <c r="AB18" s="1"/>
      <c r="AC18" s="1"/>
      <c r="AD18" s="1"/>
      <c r="AE18" s="1">
        <v>1</v>
      </c>
      <c r="AF18" s="1"/>
      <c r="AG18" s="1">
        <v>1</v>
      </c>
      <c r="AH18" s="1"/>
      <c r="AI18" s="1"/>
      <c r="AJ18" s="1" t="str">
        <f t="shared" si="0"/>
        <v>Customisation Budget: over 1000</v>
      </c>
      <c r="AK18" s="1" t="str">
        <f t="shared" si="1"/>
        <v>Personalisation Budget: over 1000</v>
      </c>
      <c r="AL18" s="1">
        <v>1</v>
      </c>
      <c r="AM18" s="1"/>
      <c r="AN18" s="1"/>
      <c r="AO18" s="1"/>
      <c r="AP18" s="1"/>
      <c r="AQ18" s="1">
        <v>1</v>
      </c>
      <c r="AR18" s="1"/>
      <c r="AS18" s="1">
        <v>1</v>
      </c>
      <c r="AT18" s="1"/>
      <c r="AU18" s="1"/>
      <c r="AV18" s="1">
        <v>1</v>
      </c>
      <c r="AW18" s="1"/>
      <c r="AX18" s="1"/>
      <c r="AY18" s="1" t="str">
        <f t="shared" si="2"/>
        <v>Customisation likelihood: Likely</v>
      </c>
      <c r="AZ18" s="1" t="str">
        <f t="shared" si="3"/>
        <v>Interest in personalising car components: Yes</v>
      </c>
      <c r="BA18" s="1" t="str">
        <f t="shared" si="4"/>
        <v>3D design experience: Yes, I can design on my own</v>
      </c>
      <c r="BB18" s="21"/>
      <c r="BC18" s="21"/>
      <c r="BD18" s="21"/>
      <c r="BE18" s="21">
        <v>1</v>
      </c>
      <c r="BF18" s="21"/>
      <c r="BG18" s="21"/>
      <c r="BH18" s="21"/>
      <c r="BI18" s="21">
        <v>1</v>
      </c>
      <c r="BJ18" s="21"/>
      <c r="BK18" s="21">
        <v>1</v>
      </c>
      <c r="BL18" s="21"/>
      <c r="BM18" s="21"/>
      <c r="BN18" s="21"/>
      <c r="BO18" s="21">
        <v>1</v>
      </c>
      <c r="BP18" s="21"/>
      <c r="BQ18" s="21"/>
      <c r="BR18" s="21">
        <v>1</v>
      </c>
    </row>
    <row r="19" spans="1:70" s="6" customFormat="1" ht="40" customHeight="1" thickBot="1" x14ac:dyDescent="0.35">
      <c r="A19" s="5" t="s">
        <v>0</v>
      </c>
      <c r="B19" s="5" t="s">
        <v>1</v>
      </c>
      <c r="C19" s="5" t="s">
        <v>2</v>
      </c>
      <c r="D19" s="5" t="s">
        <v>79</v>
      </c>
      <c r="E19" s="5" t="s">
        <v>53</v>
      </c>
      <c r="F19" s="5" t="s">
        <v>19</v>
      </c>
      <c r="G19" s="5" t="s">
        <v>13</v>
      </c>
      <c r="H19" s="5" t="s">
        <v>14</v>
      </c>
      <c r="I19" s="5" t="s">
        <v>30</v>
      </c>
      <c r="J19" s="5" t="s">
        <v>9</v>
      </c>
      <c r="K19" s="5" t="s">
        <v>10</v>
      </c>
      <c r="L19" s="5" t="s">
        <v>11</v>
      </c>
      <c r="M19" s="12"/>
      <c r="N19" s="5">
        <v>1</v>
      </c>
      <c r="O19" s="5">
        <v>1</v>
      </c>
      <c r="P19" s="5">
        <v>1</v>
      </c>
      <c r="Q19" s="5"/>
      <c r="R19" s="5">
        <v>1</v>
      </c>
      <c r="S19" s="5"/>
      <c r="T19" s="5">
        <v>1</v>
      </c>
      <c r="U19" s="5">
        <v>1</v>
      </c>
      <c r="V19" s="5"/>
      <c r="W19" s="5">
        <v>1</v>
      </c>
      <c r="X19" s="5"/>
      <c r="Y19" s="5"/>
      <c r="Z19" s="5"/>
      <c r="AA19" s="5"/>
      <c r="AB19" s="5"/>
      <c r="AC19" s="5"/>
      <c r="AD19" s="5">
        <v>1</v>
      </c>
      <c r="AE19" s="5">
        <v>1</v>
      </c>
      <c r="AF19" s="5"/>
      <c r="AG19" s="5"/>
      <c r="AH19" s="5"/>
      <c r="AI19" s="5"/>
      <c r="AJ19" s="5" t="str">
        <f t="shared" si="0"/>
        <v>Customisation Budget: over 1000</v>
      </c>
      <c r="AK19" s="5" t="str">
        <f t="shared" si="1"/>
        <v>Personalisation Budget: 500-1000</v>
      </c>
      <c r="AL19" s="5">
        <v>1</v>
      </c>
      <c r="AM19" s="5"/>
      <c r="AN19" s="5"/>
      <c r="AO19" s="5"/>
      <c r="AP19" s="5">
        <v>1</v>
      </c>
      <c r="AQ19" s="5"/>
      <c r="AR19" s="5"/>
      <c r="AS19" s="5">
        <v>1</v>
      </c>
      <c r="AT19" s="5"/>
      <c r="AU19" s="5"/>
      <c r="AV19" s="5"/>
      <c r="AW19" s="5"/>
      <c r="AX19" s="5">
        <v>1</v>
      </c>
      <c r="AY19" s="5" t="str">
        <f t="shared" si="2"/>
        <v>Customisation likelihood: Likely</v>
      </c>
      <c r="AZ19" s="5" t="str">
        <f t="shared" si="3"/>
        <v>Interest in personalising car components: Only with professional help</v>
      </c>
      <c r="BA19" s="5" t="str">
        <f t="shared" si="4"/>
        <v>3D design experience: No, I would need a designer to model my sketch</v>
      </c>
      <c r="BB19" s="5"/>
      <c r="BC19" s="5"/>
      <c r="BD19" s="5"/>
      <c r="BE19" s="5">
        <v>1</v>
      </c>
      <c r="BF19" s="5"/>
      <c r="BG19" s="5">
        <v>1</v>
      </c>
      <c r="BH19" s="5"/>
      <c r="BI19" s="5"/>
      <c r="BJ19" s="5"/>
      <c r="BK19" s="5">
        <v>1</v>
      </c>
      <c r="BL19" s="5"/>
      <c r="BM19" s="5"/>
      <c r="BN19" s="5">
        <v>1</v>
      </c>
      <c r="BO19" s="5"/>
      <c r="BP19" s="5"/>
      <c r="BQ19" s="5">
        <v>1</v>
      </c>
      <c r="BR19" s="5"/>
    </row>
    <row r="20" spans="1:70" s="2" customFormat="1" ht="40" customHeight="1" thickBot="1" x14ac:dyDescent="0.35">
      <c r="A20" s="1" t="s">
        <v>0</v>
      </c>
      <c r="B20" s="1" t="s">
        <v>17</v>
      </c>
      <c r="C20" s="1" t="s">
        <v>2</v>
      </c>
      <c r="D20" s="1" t="s">
        <v>3</v>
      </c>
      <c r="E20" s="1" t="s">
        <v>33</v>
      </c>
      <c r="F20" s="1" t="s">
        <v>5</v>
      </c>
      <c r="G20" s="1" t="s">
        <v>21</v>
      </c>
      <c r="H20" s="1" t="s">
        <v>63</v>
      </c>
      <c r="I20" s="1" t="s">
        <v>24</v>
      </c>
      <c r="J20" s="1" t="s">
        <v>16</v>
      </c>
      <c r="K20" s="1" t="s">
        <v>21</v>
      </c>
      <c r="L20" s="1" t="s">
        <v>11</v>
      </c>
      <c r="M20" s="10"/>
      <c r="N20" s="1">
        <v>1</v>
      </c>
      <c r="O20" s="1"/>
      <c r="P20" s="1">
        <v>1</v>
      </c>
      <c r="Q20" s="1"/>
      <c r="R20" s="1">
        <v>1</v>
      </c>
      <c r="S20" s="1">
        <v>1</v>
      </c>
      <c r="T20" s="1"/>
      <c r="U20" s="1"/>
      <c r="V20" s="1"/>
      <c r="W20" s="1">
        <v>1</v>
      </c>
      <c r="X20" s="1"/>
      <c r="Y20" s="1">
        <v>1</v>
      </c>
      <c r="Z20" s="1"/>
      <c r="AA20" s="1"/>
      <c r="AB20" s="1"/>
      <c r="AC20" s="1"/>
      <c r="AD20" s="1"/>
      <c r="AE20" s="1">
        <v>1</v>
      </c>
      <c r="AF20" s="1">
        <v>1</v>
      </c>
      <c r="AG20" s="1"/>
      <c r="AH20" s="1"/>
      <c r="AI20" s="1"/>
      <c r="AJ20" s="1" t="str">
        <f t="shared" si="0"/>
        <v>Customisation Budget: under 500</v>
      </c>
      <c r="AK20" s="1" t="str">
        <f t="shared" si="1"/>
        <v>Personalisation Budget: under 500</v>
      </c>
      <c r="AL20" s="1">
        <v>1</v>
      </c>
      <c r="AM20" s="1"/>
      <c r="AN20" s="1"/>
      <c r="AO20" s="1"/>
      <c r="AP20" s="1"/>
      <c r="AQ20" s="1">
        <v>1</v>
      </c>
      <c r="AR20" s="1"/>
      <c r="AS20" s="1">
        <v>1</v>
      </c>
      <c r="AT20" s="1"/>
      <c r="AU20" s="1"/>
      <c r="AV20" s="1">
        <v>1</v>
      </c>
      <c r="AW20" s="1"/>
      <c r="AX20" s="1"/>
      <c r="AY20" s="1" t="str">
        <f t="shared" si="2"/>
        <v>Customisation likelihood: Very likely</v>
      </c>
      <c r="AZ20" s="1" t="str">
        <f t="shared" si="3"/>
        <v>Interest in personalising car components: Yes</v>
      </c>
      <c r="BA20" s="1" t="str">
        <f t="shared" si="4"/>
        <v>3D design experience: No, I would need a designer to model my sketch</v>
      </c>
      <c r="BB20" s="21"/>
      <c r="BC20" s="21">
        <v>1</v>
      </c>
      <c r="BD20" s="21"/>
      <c r="BE20" s="21"/>
      <c r="BF20" s="21"/>
      <c r="BG20" s="21"/>
      <c r="BH20" s="21">
        <v>1</v>
      </c>
      <c r="BI20" s="21"/>
      <c r="BJ20" s="21"/>
      <c r="BK20" s="21"/>
      <c r="BL20" s="21">
        <v>1</v>
      </c>
      <c r="BM20" s="21"/>
      <c r="BN20" s="21"/>
      <c r="BO20" s="21">
        <v>1</v>
      </c>
      <c r="BP20" s="21"/>
      <c r="BQ20" s="21">
        <v>1</v>
      </c>
      <c r="BR20" s="21"/>
    </row>
    <row r="21" spans="1:70" s="6" customFormat="1" ht="40" customHeight="1" thickBot="1" x14ac:dyDescent="0.35">
      <c r="A21" s="5" t="s">
        <v>0</v>
      </c>
      <c r="B21" s="5" t="s">
        <v>1</v>
      </c>
      <c r="C21" s="5" t="s">
        <v>2</v>
      </c>
      <c r="D21" s="5" t="s">
        <v>3</v>
      </c>
      <c r="E21" s="5" t="s">
        <v>51</v>
      </c>
      <c r="F21" s="5" t="s">
        <v>5</v>
      </c>
      <c r="G21" s="5" t="s">
        <v>10</v>
      </c>
      <c r="H21" s="5" t="s">
        <v>80</v>
      </c>
      <c r="I21" s="5" t="s">
        <v>30</v>
      </c>
      <c r="J21" s="5" t="s">
        <v>16</v>
      </c>
      <c r="K21" s="5" t="s">
        <v>10</v>
      </c>
      <c r="L21" s="5" t="s">
        <v>25</v>
      </c>
      <c r="M21" s="12"/>
      <c r="N21" s="5">
        <v>1</v>
      </c>
      <c r="O21" s="5">
        <v>1</v>
      </c>
      <c r="P21" s="5"/>
      <c r="Q21" s="5"/>
      <c r="R21" s="5"/>
      <c r="S21" s="5">
        <v>1</v>
      </c>
      <c r="T21" s="5">
        <v>1</v>
      </c>
      <c r="U21" s="5"/>
      <c r="V21" s="5">
        <v>1</v>
      </c>
      <c r="W21" s="5">
        <v>1</v>
      </c>
      <c r="X21" s="5">
        <v>1</v>
      </c>
      <c r="Y21" s="5"/>
      <c r="Z21" s="5"/>
      <c r="AA21" s="5"/>
      <c r="AB21" s="5"/>
      <c r="AC21" s="5"/>
      <c r="AD21" s="5">
        <v>1</v>
      </c>
      <c r="AE21" s="5">
        <v>1</v>
      </c>
      <c r="AF21" s="5"/>
      <c r="AG21" s="5"/>
      <c r="AH21" s="5"/>
      <c r="AI21" s="5"/>
      <c r="AJ21" s="5" t="str">
        <f t="shared" si="0"/>
        <v>Customisation Budget: 500-1000</v>
      </c>
      <c r="AK21" s="5" t="str">
        <f t="shared" si="1"/>
        <v>Personalisation Budget: 500-1000</v>
      </c>
      <c r="AL21" s="5">
        <v>1</v>
      </c>
      <c r="AM21" s="5"/>
      <c r="AN21" s="5"/>
      <c r="AO21" s="5"/>
      <c r="AP21" s="5">
        <v>1</v>
      </c>
      <c r="AQ21" s="5"/>
      <c r="AR21" s="5"/>
      <c r="AS21" s="5">
        <v>1</v>
      </c>
      <c r="AT21" s="5"/>
      <c r="AU21" s="5"/>
      <c r="AV21" s="5">
        <v>1</v>
      </c>
      <c r="AW21" s="5"/>
      <c r="AX21" s="5"/>
      <c r="AY21" s="5" t="str">
        <f t="shared" si="2"/>
        <v>Customisation likelihood: Very likely</v>
      </c>
      <c r="AZ21" s="5" t="str">
        <f t="shared" si="3"/>
        <v>Interest in personalising car components: Yes</v>
      </c>
      <c r="BA21" s="5" t="str">
        <f t="shared" si="4"/>
        <v>3D design experience: Yes, I can design on my own</v>
      </c>
      <c r="BB21" s="5"/>
      <c r="BC21" s="5"/>
      <c r="BD21" s="5">
        <v>1</v>
      </c>
      <c r="BE21" s="5"/>
      <c r="BF21" s="5"/>
      <c r="BG21" s="5">
        <v>1</v>
      </c>
      <c r="BH21" s="5"/>
      <c r="BI21" s="5"/>
      <c r="BJ21" s="5"/>
      <c r="BK21" s="5"/>
      <c r="BL21" s="5">
        <v>1</v>
      </c>
      <c r="BM21" s="5"/>
      <c r="BN21" s="5"/>
      <c r="BO21" s="5">
        <v>1</v>
      </c>
      <c r="BP21" s="5"/>
      <c r="BQ21" s="5"/>
      <c r="BR21" s="5">
        <v>1</v>
      </c>
    </row>
    <row r="22" spans="1:70" s="2" customFormat="1" ht="40" customHeight="1" thickBot="1" x14ac:dyDescent="0.35">
      <c r="A22" s="1" t="s">
        <v>0</v>
      </c>
      <c r="B22" s="1" t="s">
        <v>1</v>
      </c>
      <c r="C22" s="1" t="s">
        <v>2</v>
      </c>
      <c r="D22" s="1" t="s">
        <v>3</v>
      </c>
      <c r="E22" s="1" t="s">
        <v>67</v>
      </c>
      <c r="F22" s="1" t="s">
        <v>5</v>
      </c>
      <c r="G22" s="1" t="s">
        <v>21</v>
      </c>
      <c r="H22" s="1" t="s">
        <v>81</v>
      </c>
      <c r="I22" s="1" t="s">
        <v>24</v>
      </c>
      <c r="J22" s="1" t="s">
        <v>9</v>
      </c>
      <c r="K22" s="1" t="s">
        <v>21</v>
      </c>
      <c r="L22" s="1" t="s">
        <v>25</v>
      </c>
      <c r="M22" s="10" t="s">
        <v>82</v>
      </c>
      <c r="N22" s="1">
        <v>1</v>
      </c>
      <c r="O22" s="1">
        <v>1</v>
      </c>
      <c r="P22" s="1"/>
      <c r="Q22" s="1"/>
      <c r="R22" s="1"/>
      <c r="S22" s="1"/>
      <c r="T22" s="1"/>
      <c r="U22" s="1">
        <v>1</v>
      </c>
      <c r="V22" s="1">
        <v>1</v>
      </c>
      <c r="W22" s="1"/>
      <c r="X22" s="1"/>
      <c r="Y22" s="1"/>
      <c r="Z22" s="1">
        <v>1</v>
      </c>
      <c r="AA22" s="1"/>
      <c r="AB22" s="1">
        <v>1</v>
      </c>
      <c r="AC22" s="1"/>
      <c r="AD22" s="1"/>
      <c r="AE22" s="1">
        <v>1</v>
      </c>
      <c r="AF22" s="1">
        <v>1</v>
      </c>
      <c r="AG22" s="1"/>
      <c r="AH22" s="1"/>
      <c r="AI22" s="1"/>
      <c r="AJ22" s="1" t="str">
        <f t="shared" si="0"/>
        <v>Customisation Budget: under 500</v>
      </c>
      <c r="AK22" s="1" t="str">
        <f t="shared" si="1"/>
        <v>Personalisation Budget: under 500</v>
      </c>
      <c r="AL22" s="1">
        <v>1</v>
      </c>
      <c r="AM22" s="1"/>
      <c r="AN22" s="1"/>
      <c r="AO22" s="1"/>
      <c r="AP22" s="1">
        <v>1</v>
      </c>
      <c r="AQ22" s="1"/>
      <c r="AR22" s="1"/>
      <c r="AS22" s="1">
        <v>1</v>
      </c>
      <c r="AT22" s="1"/>
      <c r="AU22" s="1"/>
      <c r="AV22" s="1">
        <v>1</v>
      </c>
      <c r="AW22" s="1"/>
      <c r="AX22" s="1"/>
      <c r="AY22" s="1" t="str">
        <f t="shared" si="2"/>
        <v>Customisation likelihood: Very likely</v>
      </c>
      <c r="AZ22" s="1" t="str">
        <f t="shared" si="3"/>
        <v>Interest in personalising car components: Only with professional help</v>
      </c>
      <c r="BA22" s="1" t="str">
        <f t="shared" si="4"/>
        <v>3D design experience: Yes, I can design on my own</v>
      </c>
      <c r="BB22" s="21"/>
      <c r="BC22" s="21">
        <v>1</v>
      </c>
      <c r="BD22" s="21"/>
      <c r="BE22" s="21"/>
      <c r="BF22" s="21"/>
      <c r="BG22" s="21"/>
      <c r="BH22" s="21">
        <v>1</v>
      </c>
      <c r="BI22" s="21"/>
      <c r="BJ22" s="21"/>
      <c r="BK22" s="21"/>
      <c r="BL22" s="21">
        <v>1</v>
      </c>
      <c r="BM22" s="21"/>
      <c r="BN22" s="21">
        <v>1</v>
      </c>
      <c r="BO22" s="21"/>
      <c r="BP22" s="21"/>
      <c r="BQ22" s="21"/>
      <c r="BR22" s="21">
        <v>1</v>
      </c>
    </row>
    <row r="23" spans="1:70" s="6" customFormat="1" ht="40" customHeight="1" thickBot="1" x14ac:dyDescent="0.35">
      <c r="A23" s="5" t="s">
        <v>0</v>
      </c>
      <c r="B23" s="5" t="s">
        <v>1</v>
      </c>
      <c r="C23" s="5" t="s">
        <v>2</v>
      </c>
      <c r="D23" s="5" t="s">
        <v>3</v>
      </c>
      <c r="E23" s="5" t="s">
        <v>83</v>
      </c>
      <c r="F23" s="5" t="s">
        <v>19</v>
      </c>
      <c r="G23" s="5" t="s">
        <v>10</v>
      </c>
      <c r="H23" s="5" t="s">
        <v>84</v>
      </c>
      <c r="I23" s="5" t="s">
        <v>60</v>
      </c>
      <c r="J23" s="5" t="s">
        <v>9</v>
      </c>
      <c r="K23" s="5" t="s">
        <v>10</v>
      </c>
      <c r="L23" s="5" t="s">
        <v>25</v>
      </c>
      <c r="M23" s="12"/>
      <c r="N23" s="5"/>
      <c r="O23" s="5">
        <v>1</v>
      </c>
      <c r="P23" s="5">
        <v>1</v>
      </c>
      <c r="Q23" s="5"/>
      <c r="R23" s="5">
        <v>1</v>
      </c>
      <c r="S23" s="5">
        <v>1</v>
      </c>
      <c r="T23" s="5"/>
      <c r="U23" s="5"/>
      <c r="V23" s="5">
        <v>1</v>
      </c>
      <c r="W23" s="5"/>
      <c r="X23" s="5">
        <v>1</v>
      </c>
      <c r="Y23" s="5"/>
      <c r="Z23" s="5"/>
      <c r="AA23" s="5"/>
      <c r="AB23" s="5"/>
      <c r="AC23" s="5"/>
      <c r="AD23" s="5"/>
      <c r="AE23" s="5"/>
      <c r="AF23" s="5">
        <v>1</v>
      </c>
      <c r="AG23" s="5"/>
      <c r="AH23" s="5"/>
      <c r="AI23" s="5"/>
      <c r="AJ23" s="5" t="str">
        <f t="shared" si="0"/>
        <v>Customisation Budget: 500-1000</v>
      </c>
      <c r="AK23" s="5" t="str">
        <f t="shared" si="1"/>
        <v>Personalisation Budget: 500-1000</v>
      </c>
      <c r="AL23" s="5">
        <v>1</v>
      </c>
      <c r="AM23" s="5"/>
      <c r="AN23" s="5"/>
      <c r="AO23" s="5"/>
      <c r="AP23" s="5">
        <v>1</v>
      </c>
      <c r="AQ23" s="5"/>
      <c r="AR23" s="5"/>
      <c r="AS23" s="5">
        <v>1</v>
      </c>
      <c r="AT23" s="5"/>
      <c r="AU23" s="5"/>
      <c r="AV23" s="5">
        <v>1</v>
      </c>
      <c r="AW23" s="5"/>
      <c r="AX23" s="5"/>
      <c r="AY23" s="5" t="str">
        <f t="shared" si="2"/>
        <v>Customisation likelihood: Likely</v>
      </c>
      <c r="AZ23" s="5" t="str">
        <f t="shared" si="3"/>
        <v>Interest in personalising car components: Only with professional help</v>
      </c>
      <c r="BA23" s="5" t="str">
        <f t="shared" si="4"/>
        <v>3D design experience: Yes, I can design on my own</v>
      </c>
      <c r="BB23" s="5"/>
      <c r="BC23" s="5"/>
      <c r="BD23" s="5">
        <v>1</v>
      </c>
      <c r="BE23" s="5"/>
      <c r="BF23" s="5"/>
      <c r="BG23" s="5">
        <v>1</v>
      </c>
      <c r="BH23" s="5"/>
      <c r="BI23" s="5"/>
      <c r="BJ23" s="5"/>
      <c r="BK23" s="5">
        <v>1</v>
      </c>
      <c r="BL23" s="5"/>
      <c r="BM23" s="5"/>
      <c r="BN23" s="5">
        <v>1</v>
      </c>
      <c r="BO23" s="5"/>
      <c r="BP23" s="5"/>
      <c r="BQ23" s="5"/>
      <c r="BR23" s="5">
        <v>1</v>
      </c>
    </row>
    <row r="24" spans="1:70" s="2" customFormat="1" ht="40" customHeight="1" thickBot="1" x14ac:dyDescent="0.35">
      <c r="A24" s="1" t="s">
        <v>0</v>
      </c>
      <c r="B24" s="1" t="s">
        <v>85</v>
      </c>
      <c r="C24" s="1" t="s">
        <v>2</v>
      </c>
      <c r="D24" s="1" t="s">
        <v>3</v>
      </c>
      <c r="E24" s="1" t="s">
        <v>86</v>
      </c>
      <c r="F24" s="1" t="s">
        <v>5</v>
      </c>
      <c r="G24" s="1">
        <v>0</v>
      </c>
      <c r="H24" s="1" t="s">
        <v>14</v>
      </c>
      <c r="I24" s="1" t="s">
        <v>15</v>
      </c>
      <c r="J24" s="1" t="s">
        <v>9</v>
      </c>
      <c r="K24" s="1">
        <v>0</v>
      </c>
      <c r="L24" s="1" t="s">
        <v>25</v>
      </c>
      <c r="M24" s="10"/>
      <c r="N24" s="1">
        <v>1</v>
      </c>
      <c r="O24" s="1">
        <v>1</v>
      </c>
      <c r="P24" s="1"/>
      <c r="Q24" s="1"/>
      <c r="R24" s="1"/>
      <c r="S24" s="1">
        <v>1</v>
      </c>
      <c r="T24" s="1">
        <v>1</v>
      </c>
      <c r="U24" s="1">
        <v>1</v>
      </c>
      <c r="V24" s="1"/>
      <c r="W24" s="1">
        <v>1</v>
      </c>
      <c r="X24" s="1"/>
      <c r="Y24" s="1"/>
      <c r="Z24" s="1"/>
      <c r="AA24" s="1"/>
      <c r="AB24" s="1"/>
      <c r="AC24" s="1"/>
      <c r="AD24" s="1">
        <v>1</v>
      </c>
      <c r="AE24" s="1">
        <v>1</v>
      </c>
      <c r="AF24" s="1">
        <v>1</v>
      </c>
      <c r="AG24" s="1">
        <v>1</v>
      </c>
      <c r="AH24" s="1"/>
      <c r="AI24" s="1"/>
      <c r="AJ24" s="1" t="str">
        <f t="shared" si="0"/>
        <v>Customisation Budget: 0</v>
      </c>
      <c r="AK24" s="1" t="str">
        <f t="shared" si="1"/>
        <v>Personalisation Budget: 0</v>
      </c>
      <c r="AL24" s="1">
        <v>1</v>
      </c>
      <c r="AM24" s="1"/>
      <c r="AN24" s="1"/>
      <c r="AO24" s="1"/>
      <c r="AP24" s="1"/>
      <c r="AQ24" s="1"/>
      <c r="AR24" s="1">
        <v>1</v>
      </c>
      <c r="AS24" s="1">
        <v>1</v>
      </c>
      <c r="AT24" s="1"/>
      <c r="AU24" s="1"/>
      <c r="AV24" s="1">
        <v>1</v>
      </c>
      <c r="AW24" s="1"/>
      <c r="AX24" s="1"/>
      <c r="AY24" s="1" t="str">
        <f t="shared" si="2"/>
        <v>Customisation likelihood: Very likely</v>
      </c>
      <c r="AZ24" s="1" t="str">
        <f t="shared" si="3"/>
        <v>Interest in personalising car components: Only with professional help</v>
      </c>
      <c r="BA24" s="1" t="str">
        <f t="shared" si="4"/>
        <v>3D design experience: Yes, I can design on my own</v>
      </c>
      <c r="BB24" s="21"/>
      <c r="BC24" s="21"/>
      <c r="BD24" s="21"/>
      <c r="BE24" s="21"/>
      <c r="BF24" s="21">
        <v>1</v>
      </c>
      <c r="BG24" s="21"/>
      <c r="BH24" s="21"/>
      <c r="BI24" s="21"/>
      <c r="BJ24" s="21">
        <v>1</v>
      </c>
      <c r="BK24" s="21"/>
      <c r="BL24" s="21">
        <v>1</v>
      </c>
      <c r="BM24" s="21"/>
      <c r="BN24" s="21">
        <v>1</v>
      </c>
      <c r="BO24" s="21"/>
      <c r="BP24" s="21"/>
      <c r="BQ24" s="21"/>
      <c r="BR24" s="21">
        <v>1</v>
      </c>
    </row>
    <row r="25" spans="1:70" s="6" customFormat="1" ht="40" customHeight="1" thickBot="1" x14ac:dyDescent="0.35">
      <c r="A25" s="5" t="s">
        <v>0</v>
      </c>
      <c r="B25" s="5" t="s">
        <v>1</v>
      </c>
      <c r="C25" s="5" t="s">
        <v>2</v>
      </c>
      <c r="D25" s="5" t="s">
        <v>3</v>
      </c>
      <c r="E25" s="5" t="s">
        <v>87</v>
      </c>
      <c r="F25" s="5" t="s">
        <v>5</v>
      </c>
      <c r="G25" s="5">
        <v>0</v>
      </c>
      <c r="H25" s="5" t="s">
        <v>78</v>
      </c>
      <c r="I25" s="5" t="s">
        <v>60</v>
      </c>
      <c r="J25" s="5" t="s">
        <v>9</v>
      </c>
      <c r="K25" s="5" t="s">
        <v>21</v>
      </c>
      <c r="L25" s="5" t="s">
        <v>25</v>
      </c>
      <c r="M25" s="12"/>
      <c r="N25" s="5">
        <v>1</v>
      </c>
      <c r="O25" s="5">
        <v>1</v>
      </c>
      <c r="P25" s="5"/>
      <c r="Q25" s="5"/>
      <c r="R25" s="5">
        <v>1</v>
      </c>
      <c r="S25" s="5"/>
      <c r="T25" s="5">
        <v>1</v>
      </c>
      <c r="U25" s="5"/>
      <c r="V25" s="5"/>
      <c r="W25" s="5"/>
      <c r="X25" s="5">
        <v>1</v>
      </c>
      <c r="Y25" s="5"/>
      <c r="Z25" s="5"/>
      <c r="AA25" s="5"/>
      <c r="AB25" s="5"/>
      <c r="AC25" s="5"/>
      <c r="AD25" s="5"/>
      <c r="AE25" s="5"/>
      <c r="AF25" s="5">
        <v>1</v>
      </c>
      <c r="AG25" s="5"/>
      <c r="AH25" s="5"/>
      <c r="AI25" s="5"/>
      <c r="AJ25" s="5" t="str">
        <f t="shared" si="0"/>
        <v>Customisation Budget: 0</v>
      </c>
      <c r="AK25" s="5" t="str">
        <f t="shared" si="1"/>
        <v>Personalisation Budget: under 500</v>
      </c>
      <c r="AL25" s="5">
        <v>1</v>
      </c>
      <c r="AM25" s="5"/>
      <c r="AN25" s="5"/>
      <c r="AO25" s="5"/>
      <c r="AP25" s="5">
        <v>1</v>
      </c>
      <c r="AQ25" s="5"/>
      <c r="AR25" s="5"/>
      <c r="AS25" s="5">
        <v>1</v>
      </c>
      <c r="AT25" s="5"/>
      <c r="AU25" s="5"/>
      <c r="AV25" s="5">
        <v>1</v>
      </c>
      <c r="AW25" s="5"/>
      <c r="AX25" s="5"/>
      <c r="AY25" s="5" t="str">
        <f t="shared" si="2"/>
        <v>Customisation likelihood: Very likely</v>
      </c>
      <c r="AZ25" s="5" t="str">
        <f t="shared" si="3"/>
        <v>Interest in personalising car components: Only with professional help</v>
      </c>
      <c r="BA25" s="5" t="str">
        <f t="shared" si="4"/>
        <v>3D design experience: Yes, I can design on my own</v>
      </c>
      <c r="BB25" s="5"/>
      <c r="BC25" s="5"/>
      <c r="BD25" s="5"/>
      <c r="BE25" s="5"/>
      <c r="BF25" s="5">
        <v>1</v>
      </c>
      <c r="BG25" s="5"/>
      <c r="BH25" s="5">
        <v>1</v>
      </c>
      <c r="BI25" s="5"/>
      <c r="BJ25" s="5"/>
      <c r="BK25" s="5"/>
      <c r="BL25" s="5">
        <v>1</v>
      </c>
      <c r="BM25" s="5"/>
      <c r="BN25" s="5">
        <v>1</v>
      </c>
      <c r="BO25" s="5"/>
      <c r="BP25" s="5"/>
      <c r="BQ25" s="5"/>
      <c r="BR25" s="5">
        <v>1</v>
      </c>
    </row>
    <row r="26" spans="1:70" s="2" customFormat="1" ht="40" customHeight="1" thickBot="1" x14ac:dyDescent="0.35">
      <c r="A26" s="1" t="s">
        <v>0</v>
      </c>
      <c r="B26" s="1" t="s">
        <v>1</v>
      </c>
      <c r="C26" s="1" t="s">
        <v>2</v>
      </c>
      <c r="D26" s="1" t="s">
        <v>3</v>
      </c>
      <c r="E26" s="1" t="s">
        <v>88</v>
      </c>
      <c r="F26" s="1" t="s">
        <v>5</v>
      </c>
      <c r="G26" s="1" t="s">
        <v>10</v>
      </c>
      <c r="H26" s="1" t="s">
        <v>52</v>
      </c>
      <c r="I26" s="1" t="s">
        <v>89</v>
      </c>
      <c r="J26" s="1" t="s">
        <v>16</v>
      </c>
      <c r="K26" s="1" t="s">
        <v>10</v>
      </c>
      <c r="L26" s="1" t="s">
        <v>25</v>
      </c>
      <c r="M26" s="10"/>
      <c r="N26" s="1">
        <v>1</v>
      </c>
      <c r="O26" s="1">
        <v>1</v>
      </c>
      <c r="P26" s="1">
        <v>1</v>
      </c>
      <c r="Q26" s="1"/>
      <c r="R26" s="1">
        <v>1</v>
      </c>
      <c r="S26" s="1"/>
      <c r="T26" s="1">
        <v>1</v>
      </c>
      <c r="U26" s="1"/>
      <c r="V26" s="1"/>
      <c r="W26" s="1">
        <v>1</v>
      </c>
      <c r="X26" s="1">
        <v>1</v>
      </c>
      <c r="Y26" s="1">
        <v>1</v>
      </c>
      <c r="Z26" s="1"/>
      <c r="AA26" s="1"/>
      <c r="AB26" s="1"/>
      <c r="AC26" s="1"/>
      <c r="AD26" s="1">
        <v>1</v>
      </c>
      <c r="AE26" s="1"/>
      <c r="AF26" s="1"/>
      <c r="AG26" s="1">
        <v>1</v>
      </c>
      <c r="AH26" s="1"/>
      <c r="AI26" s="1"/>
      <c r="AJ26" s="1" t="str">
        <f t="shared" si="0"/>
        <v>Customisation Budget: 500-1000</v>
      </c>
      <c r="AK26" s="1" t="str">
        <f t="shared" si="1"/>
        <v>Personalisation Budget: 500-1000</v>
      </c>
      <c r="AL26" s="1">
        <v>1</v>
      </c>
      <c r="AM26" s="1"/>
      <c r="AN26" s="1"/>
      <c r="AO26" s="1"/>
      <c r="AP26" s="1">
        <v>1</v>
      </c>
      <c r="AQ26" s="1"/>
      <c r="AR26" s="1"/>
      <c r="AS26" s="1">
        <v>1</v>
      </c>
      <c r="AT26" s="1"/>
      <c r="AU26" s="1"/>
      <c r="AV26" s="1">
        <v>1</v>
      </c>
      <c r="AW26" s="1"/>
      <c r="AX26" s="1"/>
      <c r="AY26" s="1" t="str">
        <f t="shared" si="2"/>
        <v>Customisation likelihood: Very likely</v>
      </c>
      <c r="AZ26" s="1" t="str">
        <f t="shared" si="3"/>
        <v>Interest in personalising car components: Yes</v>
      </c>
      <c r="BA26" s="1" t="str">
        <f t="shared" si="4"/>
        <v>3D design experience: Yes, I can design on my own</v>
      </c>
      <c r="BB26" s="21"/>
      <c r="BC26" s="21"/>
      <c r="BD26" s="21">
        <v>1</v>
      </c>
      <c r="BE26" s="21"/>
      <c r="BF26" s="21"/>
      <c r="BG26" s="21">
        <v>1</v>
      </c>
      <c r="BH26" s="21"/>
      <c r="BI26" s="21"/>
      <c r="BJ26" s="21"/>
      <c r="BK26" s="21"/>
      <c r="BL26" s="21">
        <v>1</v>
      </c>
      <c r="BM26" s="21"/>
      <c r="BN26" s="21"/>
      <c r="BO26" s="21">
        <v>1</v>
      </c>
      <c r="BP26" s="21"/>
      <c r="BQ26" s="21"/>
      <c r="BR26" s="21">
        <v>1</v>
      </c>
    </row>
    <row r="27" spans="1:70" s="6" customFormat="1" ht="40" customHeight="1" thickBot="1" x14ac:dyDescent="0.35">
      <c r="A27" s="5" t="s">
        <v>0</v>
      </c>
      <c r="B27" s="5" t="s">
        <v>17</v>
      </c>
      <c r="C27" s="5" t="s">
        <v>2</v>
      </c>
      <c r="D27" s="5" t="s">
        <v>3</v>
      </c>
      <c r="E27" s="5" t="s">
        <v>66</v>
      </c>
      <c r="F27" s="5" t="s">
        <v>5</v>
      </c>
      <c r="G27" s="5" t="s">
        <v>21</v>
      </c>
      <c r="H27" s="5" t="s">
        <v>90</v>
      </c>
      <c r="I27" s="5" t="s">
        <v>40</v>
      </c>
      <c r="J27" s="5" t="s">
        <v>9</v>
      </c>
      <c r="K27" s="5" t="s">
        <v>10</v>
      </c>
      <c r="L27" s="5" t="s">
        <v>25</v>
      </c>
      <c r="M27" s="12" t="s">
        <v>91</v>
      </c>
      <c r="N27" s="5">
        <v>1</v>
      </c>
      <c r="O27" s="5">
        <v>1</v>
      </c>
      <c r="P27" s="5">
        <v>1</v>
      </c>
      <c r="Q27" s="5"/>
      <c r="R27" s="5"/>
      <c r="S27" s="5"/>
      <c r="T27" s="5">
        <v>1</v>
      </c>
      <c r="U27" s="5">
        <v>1</v>
      </c>
      <c r="V27" s="5">
        <v>1</v>
      </c>
      <c r="W27" s="5"/>
      <c r="X27" s="5">
        <v>1</v>
      </c>
      <c r="Y27" s="5">
        <v>1</v>
      </c>
      <c r="Z27" s="5">
        <v>1</v>
      </c>
      <c r="AA27" s="5"/>
      <c r="AB27" s="5"/>
      <c r="AC27" s="5"/>
      <c r="AD27" s="5">
        <v>1</v>
      </c>
      <c r="AE27" s="5"/>
      <c r="AF27" s="5">
        <v>1</v>
      </c>
      <c r="AG27" s="5"/>
      <c r="AH27" s="5"/>
      <c r="AI27" s="5"/>
      <c r="AJ27" s="5" t="str">
        <f t="shared" si="0"/>
        <v>Customisation Budget: under 500</v>
      </c>
      <c r="AK27" s="5" t="str">
        <f t="shared" si="1"/>
        <v>Personalisation Budget: 500-1000</v>
      </c>
      <c r="AL27" s="5">
        <v>1</v>
      </c>
      <c r="AM27" s="5"/>
      <c r="AN27" s="5"/>
      <c r="AO27" s="5"/>
      <c r="AP27" s="5"/>
      <c r="AQ27" s="5">
        <v>1</v>
      </c>
      <c r="AR27" s="5"/>
      <c r="AS27" s="5">
        <v>1</v>
      </c>
      <c r="AT27" s="5"/>
      <c r="AU27" s="5"/>
      <c r="AV27" s="5">
        <v>1</v>
      </c>
      <c r="AW27" s="5"/>
      <c r="AX27" s="5"/>
      <c r="AY27" s="5" t="str">
        <f t="shared" si="2"/>
        <v>Customisation likelihood: Very likely</v>
      </c>
      <c r="AZ27" s="5" t="str">
        <f t="shared" si="3"/>
        <v>Interest in personalising car components: Only with professional help</v>
      </c>
      <c r="BA27" s="5" t="str">
        <f t="shared" si="4"/>
        <v>3D design experience: Yes, I can design on my own</v>
      </c>
      <c r="BB27" s="5"/>
      <c r="BC27" s="5">
        <v>1</v>
      </c>
      <c r="BD27" s="5"/>
      <c r="BE27" s="5"/>
      <c r="BF27" s="5"/>
      <c r="BG27" s="5">
        <v>1</v>
      </c>
      <c r="BH27" s="5"/>
      <c r="BI27" s="5"/>
      <c r="BJ27" s="5"/>
      <c r="BK27" s="5"/>
      <c r="BL27" s="5">
        <v>1</v>
      </c>
      <c r="BM27" s="5"/>
      <c r="BN27" s="5">
        <v>1</v>
      </c>
      <c r="BO27" s="5"/>
      <c r="BP27" s="5"/>
      <c r="BQ27" s="5"/>
      <c r="BR27" s="5">
        <v>1</v>
      </c>
    </row>
    <row r="28" spans="1:70" s="2" customFormat="1" ht="40" customHeight="1" thickBot="1" x14ac:dyDescent="0.35">
      <c r="A28" s="1" t="s">
        <v>0</v>
      </c>
      <c r="B28" s="1" t="s">
        <v>17</v>
      </c>
      <c r="C28" s="1" t="s">
        <v>2</v>
      </c>
      <c r="D28" s="1" t="s">
        <v>3</v>
      </c>
      <c r="E28" s="1" t="s">
        <v>88</v>
      </c>
      <c r="F28" s="1" t="s">
        <v>19</v>
      </c>
      <c r="G28" s="1" t="s">
        <v>21</v>
      </c>
      <c r="H28" s="1" t="s">
        <v>80</v>
      </c>
      <c r="I28" s="1" t="s">
        <v>65</v>
      </c>
      <c r="J28" s="1" t="s">
        <v>36</v>
      </c>
      <c r="K28" s="1" t="s">
        <v>21</v>
      </c>
      <c r="L28" s="1" t="s">
        <v>11</v>
      </c>
      <c r="M28" s="10"/>
      <c r="N28" s="1">
        <v>1</v>
      </c>
      <c r="O28" s="1">
        <v>1</v>
      </c>
      <c r="P28" s="1">
        <v>1</v>
      </c>
      <c r="Q28" s="1"/>
      <c r="R28" s="1">
        <v>1</v>
      </c>
      <c r="S28" s="1"/>
      <c r="T28" s="1">
        <v>1</v>
      </c>
      <c r="U28" s="1"/>
      <c r="V28" s="1">
        <v>1</v>
      </c>
      <c r="W28" s="1">
        <v>1</v>
      </c>
      <c r="X28" s="1">
        <v>1</v>
      </c>
      <c r="Y28" s="1"/>
      <c r="Z28" s="1"/>
      <c r="AA28" s="1"/>
      <c r="AB28" s="1"/>
      <c r="AC28" s="1"/>
      <c r="AD28" s="1">
        <v>1</v>
      </c>
      <c r="AE28" s="1">
        <v>1</v>
      </c>
      <c r="AF28" s="1"/>
      <c r="AG28" s="1">
        <v>1</v>
      </c>
      <c r="AH28" s="1"/>
      <c r="AI28" s="1"/>
      <c r="AJ28" s="1" t="str">
        <f t="shared" si="0"/>
        <v>Customisation Budget: under 500</v>
      </c>
      <c r="AK28" s="1" t="str">
        <f t="shared" si="1"/>
        <v>Personalisation Budget: under 500</v>
      </c>
      <c r="AL28" s="1">
        <v>1</v>
      </c>
      <c r="AM28" s="1"/>
      <c r="AN28" s="1"/>
      <c r="AO28" s="1"/>
      <c r="AP28" s="1"/>
      <c r="AQ28" s="1">
        <v>1</v>
      </c>
      <c r="AR28" s="1"/>
      <c r="AS28" s="1">
        <v>1</v>
      </c>
      <c r="AT28" s="1"/>
      <c r="AU28" s="1"/>
      <c r="AV28" s="1">
        <v>1</v>
      </c>
      <c r="AW28" s="1"/>
      <c r="AX28" s="1"/>
      <c r="AY28" s="1" t="str">
        <f t="shared" si="2"/>
        <v>Customisation likelihood: Likely</v>
      </c>
      <c r="AZ28" s="1" t="str">
        <f t="shared" si="3"/>
        <v>Interest in personalising car components: No</v>
      </c>
      <c r="BA28" s="1" t="str">
        <f t="shared" si="4"/>
        <v>3D design experience: No, I would need a designer to model my sketch</v>
      </c>
      <c r="BB28" s="21"/>
      <c r="BC28" s="21">
        <v>1</v>
      </c>
      <c r="BD28" s="21"/>
      <c r="BE28" s="21"/>
      <c r="BF28" s="21"/>
      <c r="BG28" s="21"/>
      <c r="BH28" s="21">
        <v>1</v>
      </c>
      <c r="BI28" s="21"/>
      <c r="BJ28" s="21"/>
      <c r="BK28" s="21">
        <v>1</v>
      </c>
      <c r="BL28" s="21"/>
      <c r="BM28" s="21"/>
      <c r="BN28" s="21"/>
      <c r="BO28" s="21"/>
      <c r="BP28" s="21">
        <v>1</v>
      </c>
      <c r="BQ28" s="21">
        <v>1</v>
      </c>
      <c r="BR28" s="21"/>
    </row>
    <row r="29" spans="1:70" s="6" customFormat="1" ht="40" customHeight="1" thickBot="1" x14ac:dyDescent="0.35">
      <c r="A29" s="5" t="s">
        <v>0</v>
      </c>
      <c r="B29" s="3" t="s">
        <v>17</v>
      </c>
      <c r="C29" s="5" t="s">
        <v>44</v>
      </c>
      <c r="D29" s="5" t="s">
        <v>3</v>
      </c>
      <c r="E29" s="5" t="s">
        <v>38</v>
      </c>
      <c r="F29" s="5" t="s">
        <v>5</v>
      </c>
      <c r="G29" s="5">
        <v>0</v>
      </c>
      <c r="H29" s="5" t="s">
        <v>52</v>
      </c>
      <c r="I29" s="5" t="s">
        <v>92</v>
      </c>
      <c r="J29" s="5" t="s">
        <v>9</v>
      </c>
      <c r="K29" s="5">
        <v>0</v>
      </c>
      <c r="L29" s="5" t="s">
        <v>11</v>
      </c>
      <c r="M29" s="12"/>
      <c r="N29" s="5">
        <v>1</v>
      </c>
      <c r="O29" s="5">
        <v>1</v>
      </c>
      <c r="P29" s="5">
        <v>1</v>
      </c>
      <c r="Q29" s="5"/>
      <c r="R29" s="5">
        <v>1</v>
      </c>
      <c r="S29" s="5">
        <v>1</v>
      </c>
      <c r="T29" s="5">
        <v>1</v>
      </c>
      <c r="U29" s="5"/>
      <c r="V29" s="5"/>
      <c r="W29" s="5">
        <v>1</v>
      </c>
      <c r="X29" s="5">
        <v>1</v>
      </c>
      <c r="Y29" s="5">
        <v>1</v>
      </c>
      <c r="Z29" s="5"/>
      <c r="AA29" s="5"/>
      <c r="AB29" s="5"/>
      <c r="AC29" s="5"/>
      <c r="AD29" s="5"/>
      <c r="AE29" s="5"/>
      <c r="AF29" s="5"/>
      <c r="AG29" s="5">
        <v>1</v>
      </c>
      <c r="AH29" s="5"/>
      <c r="AI29" s="5"/>
      <c r="AJ29" s="5" t="str">
        <f t="shared" si="0"/>
        <v>Customisation Budget: 0</v>
      </c>
      <c r="AK29" s="5" t="str">
        <f t="shared" si="1"/>
        <v>Personalisation Budget: 0</v>
      </c>
      <c r="AL29" s="5">
        <v>1</v>
      </c>
      <c r="AM29" s="5"/>
      <c r="AN29" s="5"/>
      <c r="AO29" s="5"/>
      <c r="AP29" s="5"/>
      <c r="AQ29" s="5">
        <v>1</v>
      </c>
      <c r="AR29" s="5"/>
      <c r="AS29" s="5"/>
      <c r="AT29" s="5"/>
      <c r="AU29" s="5">
        <v>1</v>
      </c>
      <c r="AV29" s="5">
        <v>1</v>
      </c>
      <c r="AW29" s="5"/>
      <c r="AX29" s="5"/>
      <c r="AY29" s="5" t="str">
        <f t="shared" si="2"/>
        <v>Customisation likelihood: Very likely</v>
      </c>
      <c r="AZ29" s="5" t="str">
        <f t="shared" si="3"/>
        <v>Interest in personalising car components: Only with professional help</v>
      </c>
      <c r="BA29" s="5" t="str">
        <f t="shared" si="4"/>
        <v>3D design experience: No, I would need a designer to model my sketch</v>
      </c>
      <c r="BB29" s="5"/>
      <c r="BC29" s="5"/>
      <c r="BD29" s="5"/>
      <c r="BE29" s="5"/>
      <c r="BF29" s="5">
        <v>1</v>
      </c>
      <c r="BG29" s="5"/>
      <c r="BH29" s="5"/>
      <c r="BI29" s="5"/>
      <c r="BJ29" s="5">
        <v>1</v>
      </c>
      <c r="BK29" s="5"/>
      <c r="BL29" s="5">
        <v>1</v>
      </c>
      <c r="BM29" s="5"/>
      <c r="BN29" s="5">
        <v>1</v>
      </c>
      <c r="BO29" s="5"/>
      <c r="BP29" s="5"/>
      <c r="BQ29" s="5">
        <v>1</v>
      </c>
      <c r="BR29" s="5"/>
    </row>
    <row r="30" spans="1:70" s="2" customFormat="1" ht="40" customHeight="1" thickBot="1" x14ac:dyDescent="0.35">
      <c r="A30" s="1" t="s">
        <v>57</v>
      </c>
      <c r="B30" s="1" t="s">
        <v>1</v>
      </c>
      <c r="C30" s="1" t="s">
        <v>44</v>
      </c>
      <c r="D30" s="1" t="s">
        <v>45</v>
      </c>
      <c r="E30" s="1" t="s">
        <v>62</v>
      </c>
      <c r="F30" s="1" t="s">
        <v>19</v>
      </c>
      <c r="G30" s="1" t="s">
        <v>10</v>
      </c>
      <c r="H30" s="1" t="s">
        <v>93</v>
      </c>
      <c r="I30" s="1" t="s">
        <v>40</v>
      </c>
      <c r="J30" s="1" t="s">
        <v>9</v>
      </c>
      <c r="K30" s="1" t="s">
        <v>10</v>
      </c>
      <c r="L30" s="1" t="s">
        <v>11</v>
      </c>
      <c r="M30" s="10" t="s">
        <v>94</v>
      </c>
      <c r="N30" s="1">
        <v>1</v>
      </c>
      <c r="O30" s="1">
        <v>1</v>
      </c>
      <c r="P30" s="1">
        <v>1</v>
      </c>
      <c r="Q30" s="1"/>
      <c r="R30" s="1"/>
      <c r="S30" s="1"/>
      <c r="T30" s="1"/>
      <c r="U30" s="1"/>
      <c r="V30" s="1">
        <v>1</v>
      </c>
      <c r="W30" s="1"/>
      <c r="X30" s="1">
        <v>1</v>
      </c>
      <c r="Y30" s="1">
        <v>1</v>
      </c>
      <c r="Z30" s="1"/>
      <c r="AA30" s="1"/>
      <c r="AB30" s="1"/>
      <c r="AC30" s="1"/>
      <c r="AD30" s="1">
        <v>1</v>
      </c>
      <c r="AE30" s="1"/>
      <c r="AF30" s="1">
        <v>1</v>
      </c>
      <c r="AG30" s="1"/>
      <c r="AH30" s="1"/>
      <c r="AI30" s="1"/>
      <c r="AJ30" s="1" t="str">
        <f t="shared" si="0"/>
        <v>Customisation Budget: 500-1000</v>
      </c>
      <c r="AK30" s="1" t="str">
        <f t="shared" si="1"/>
        <v>Personalisation Budget: 500-1000</v>
      </c>
      <c r="AL30" s="1"/>
      <c r="AM30" s="1"/>
      <c r="AN30" s="1"/>
      <c r="AO30" s="1">
        <v>1</v>
      </c>
      <c r="AP30" s="1">
        <v>1</v>
      </c>
      <c r="AQ30" s="1"/>
      <c r="AR30" s="1"/>
      <c r="AS30" s="1"/>
      <c r="AT30" s="1"/>
      <c r="AU30" s="1">
        <v>1</v>
      </c>
      <c r="AV30" s="1"/>
      <c r="AW30" s="1">
        <v>1</v>
      </c>
      <c r="AX30" s="1"/>
      <c r="AY30" s="1" t="str">
        <f t="shared" si="2"/>
        <v>Customisation likelihood: Likely</v>
      </c>
      <c r="AZ30" s="1" t="str">
        <f t="shared" si="3"/>
        <v>Interest in personalising car components: Only with professional help</v>
      </c>
      <c r="BA30" s="1" t="str">
        <f t="shared" si="4"/>
        <v>3D design experience: No, I would need a designer to model my sketch</v>
      </c>
      <c r="BB30" s="21"/>
      <c r="BC30" s="21"/>
      <c r="BD30" s="21">
        <v>1</v>
      </c>
      <c r="BE30" s="21"/>
      <c r="BF30" s="21"/>
      <c r="BG30" s="21">
        <v>1</v>
      </c>
      <c r="BH30" s="21"/>
      <c r="BI30" s="21"/>
      <c r="BJ30" s="21"/>
      <c r="BK30" s="21">
        <v>1</v>
      </c>
      <c r="BL30" s="21"/>
      <c r="BM30" s="21"/>
      <c r="BN30" s="21">
        <v>1</v>
      </c>
      <c r="BO30" s="21"/>
      <c r="BP30" s="21"/>
      <c r="BQ30" s="21">
        <v>1</v>
      </c>
      <c r="BR30" s="21"/>
    </row>
    <row r="31" spans="1:70" s="4" customFormat="1" ht="40" customHeight="1" thickBot="1" x14ac:dyDescent="0.35">
      <c r="A31" s="3" t="s">
        <v>0</v>
      </c>
      <c r="B31" s="3" t="s">
        <v>1</v>
      </c>
      <c r="C31" s="3" t="s">
        <v>2</v>
      </c>
      <c r="D31" s="3" t="s">
        <v>3</v>
      </c>
      <c r="E31" s="3"/>
      <c r="F31" s="3" t="s">
        <v>5</v>
      </c>
      <c r="G31" s="3" t="s">
        <v>13</v>
      </c>
      <c r="H31" s="3" t="s">
        <v>14</v>
      </c>
      <c r="I31" s="3" t="s">
        <v>60</v>
      </c>
      <c r="J31" s="3" t="s">
        <v>9</v>
      </c>
      <c r="K31" s="3" t="s">
        <v>13</v>
      </c>
      <c r="L31" s="3" t="s">
        <v>25</v>
      </c>
      <c r="M31" s="11"/>
      <c r="N31" s="5"/>
      <c r="O31" s="5"/>
      <c r="P31" s="5"/>
      <c r="Q31" s="5"/>
      <c r="R31" s="5"/>
      <c r="S31" s="5"/>
      <c r="T31" s="5"/>
      <c r="U31" s="5"/>
      <c r="V31" s="5"/>
      <c r="W31" s="5">
        <v>1</v>
      </c>
      <c r="X31" s="5"/>
      <c r="Y31" s="5"/>
      <c r="Z31" s="5"/>
      <c r="AA31" s="5"/>
      <c r="AB31" s="5"/>
      <c r="AC31" s="5"/>
      <c r="AD31" s="5"/>
      <c r="AE31" s="5"/>
      <c r="AF31" s="5">
        <v>1</v>
      </c>
      <c r="AG31" s="5"/>
      <c r="AH31" s="5"/>
      <c r="AI31" s="5"/>
      <c r="AJ31" s="5" t="str">
        <f t="shared" si="0"/>
        <v>Customisation Budget: over 1000</v>
      </c>
      <c r="AK31" s="5" t="str">
        <f t="shared" si="1"/>
        <v>Personalisation Budget: over 1000</v>
      </c>
      <c r="AL31" s="5">
        <v>1</v>
      </c>
      <c r="AM31" s="5"/>
      <c r="AN31" s="5"/>
      <c r="AO31" s="5"/>
      <c r="AP31" s="5">
        <v>1</v>
      </c>
      <c r="AQ31" s="5"/>
      <c r="AR31" s="5"/>
      <c r="AS31" s="5">
        <v>1</v>
      </c>
      <c r="AT31" s="5"/>
      <c r="AU31" s="5"/>
      <c r="AV31" s="5">
        <v>1</v>
      </c>
      <c r="AW31" s="5"/>
      <c r="AX31" s="5"/>
      <c r="AY31" s="5" t="str">
        <f t="shared" si="2"/>
        <v>Customisation likelihood: Very likely</v>
      </c>
      <c r="AZ31" s="5" t="str">
        <f t="shared" si="3"/>
        <v>Interest in personalising car components: Only with professional help</v>
      </c>
      <c r="BA31" s="5" t="str">
        <f t="shared" si="4"/>
        <v>3D design experience: Yes, I can design on my own</v>
      </c>
      <c r="BB31" s="5"/>
      <c r="BC31" s="5"/>
      <c r="BD31" s="5"/>
      <c r="BE31" s="5">
        <v>1</v>
      </c>
      <c r="BF31" s="5"/>
      <c r="BG31" s="5"/>
      <c r="BH31" s="5"/>
      <c r="BI31" s="5">
        <v>1</v>
      </c>
      <c r="BJ31" s="5"/>
      <c r="BK31" s="5"/>
      <c r="BL31" s="5">
        <v>1</v>
      </c>
      <c r="BM31" s="5"/>
      <c r="BN31" s="5">
        <v>1</v>
      </c>
      <c r="BO31" s="5"/>
      <c r="BP31" s="5"/>
      <c r="BQ31" s="5"/>
      <c r="BR31" s="5">
        <v>1</v>
      </c>
    </row>
    <row r="32" spans="1:70" s="2" customFormat="1" ht="40" customHeight="1" thickBot="1" x14ac:dyDescent="0.35">
      <c r="A32" s="1" t="s">
        <v>0</v>
      </c>
      <c r="B32" s="1" t="s">
        <v>1</v>
      </c>
      <c r="C32" s="1" t="s">
        <v>2</v>
      </c>
      <c r="D32" s="1" t="s">
        <v>79</v>
      </c>
      <c r="E32" s="1" t="s">
        <v>54</v>
      </c>
      <c r="F32" s="1" t="s">
        <v>5</v>
      </c>
      <c r="G32" s="1" t="s">
        <v>10</v>
      </c>
      <c r="H32" s="1" t="s">
        <v>59</v>
      </c>
      <c r="I32" s="1" t="s">
        <v>50</v>
      </c>
      <c r="J32" s="1" t="s">
        <v>16</v>
      </c>
      <c r="K32" s="1" t="s">
        <v>10</v>
      </c>
      <c r="L32" s="1" t="s">
        <v>25</v>
      </c>
      <c r="M32" s="10"/>
      <c r="N32" s="1">
        <v>1</v>
      </c>
      <c r="O32" s="1"/>
      <c r="P32" s="1">
        <v>1</v>
      </c>
      <c r="Q32" s="1"/>
      <c r="R32" s="1"/>
      <c r="S32" s="1">
        <v>1</v>
      </c>
      <c r="T32" s="1"/>
      <c r="U32" s="1"/>
      <c r="V32" s="1"/>
      <c r="W32" s="1"/>
      <c r="X32" s="1"/>
      <c r="Y32" s="1"/>
      <c r="Z32" s="1">
        <v>1</v>
      </c>
      <c r="AA32" s="1"/>
      <c r="AB32" s="1"/>
      <c r="AC32" s="1"/>
      <c r="AD32" s="1">
        <v>1</v>
      </c>
      <c r="AE32" s="1">
        <v>1</v>
      </c>
      <c r="AF32" s="1">
        <v>1</v>
      </c>
      <c r="AG32" s="1"/>
      <c r="AH32" s="1"/>
      <c r="AI32" s="1"/>
      <c r="AJ32" s="1" t="str">
        <f t="shared" si="0"/>
        <v>Customisation Budget: 500-1000</v>
      </c>
      <c r="AK32" s="1" t="str">
        <f t="shared" si="1"/>
        <v>Personalisation Budget: 500-1000</v>
      </c>
      <c r="AL32" s="1">
        <v>1</v>
      </c>
      <c r="AM32" s="1"/>
      <c r="AN32" s="1"/>
      <c r="AO32" s="1"/>
      <c r="AP32" s="1">
        <v>1</v>
      </c>
      <c r="AQ32" s="1"/>
      <c r="AR32" s="1"/>
      <c r="AS32" s="1">
        <v>1</v>
      </c>
      <c r="AT32" s="1"/>
      <c r="AU32" s="1"/>
      <c r="AV32" s="1"/>
      <c r="AW32" s="1"/>
      <c r="AX32" s="1">
        <v>1</v>
      </c>
      <c r="AY32" s="1" t="str">
        <f t="shared" si="2"/>
        <v>Customisation likelihood: Very likely</v>
      </c>
      <c r="AZ32" s="1" t="str">
        <f t="shared" si="3"/>
        <v>Interest in personalising car components: Yes</v>
      </c>
      <c r="BA32" s="1" t="str">
        <f t="shared" si="4"/>
        <v>3D design experience: Yes, I can design on my own</v>
      </c>
      <c r="BB32" s="21"/>
      <c r="BC32" s="21"/>
      <c r="BD32" s="21">
        <v>1</v>
      </c>
      <c r="BE32" s="21"/>
      <c r="BF32" s="21"/>
      <c r="BG32" s="21">
        <v>1</v>
      </c>
      <c r="BH32" s="21"/>
      <c r="BI32" s="21"/>
      <c r="BJ32" s="21"/>
      <c r="BK32" s="21"/>
      <c r="BL32" s="21">
        <v>1</v>
      </c>
      <c r="BM32" s="21"/>
      <c r="BN32" s="21"/>
      <c r="BO32" s="21">
        <v>1</v>
      </c>
      <c r="BP32" s="21"/>
      <c r="BQ32" s="21"/>
      <c r="BR32" s="21">
        <v>1</v>
      </c>
    </row>
    <row r="33" spans="1:70" s="4" customFormat="1" ht="40" customHeight="1" thickBot="1" x14ac:dyDescent="0.35">
      <c r="A33" s="3" t="s">
        <v>0</v>
      </c>
      <c r="B33" s="3" t="s">
        <v>17</v>
      </c>
      <c r="C33" s="3" t="s">
        <v>2</v>
      </c>
      <c r="D33" s="3" t="s">
        <v>3</v>
      </c>
      <c r="E33" s="3" t="s">
        <v>95</v>
      </c>
      <c r="F33" s="3" t="s">
        <v>5</v>
      </c>
      <c r="G33" s="3" t="s">
        <v>10</v>
      </c>
      <c r="H33" s="3" t="s">
        <v>32</v>
      </c>
      <c r="I33" s="3" t="s">
        <v>60</v>
      </c>
      <c r="J33" s="3" t="s">
        <v>9</v>
      </c>
      <c r="K33" s="3" t="s">
        <v>10</v>
      </c>
      <c r="L33" s="3" t="s">
        <v>11</v>
      </c>
      <c r="M33" s="11"/>
      <c r="N33" s="5">
        <v>1</v>
      </c>
      <c r="O33" s="5"/>
      <c r="P33" s="5"/>
      <c r="Q33" s="5"/>
      <c r="R33" s="5">
        <v>1</v>
      </c>
      <c r="S33" s="5">
        <v>1</v>
      </c>
      <c r="T33" s="5"/>
      <c r="U33" s="5"/>
      <c r="V33" s="5"/>
      <c r="W33" s="5">
        <v>1</v>
      </c>
      <c r="X33" s="5">
        <v>1</v>
      </c>
      <c r="Y33" s="5"/>
      <c r="Z33" s="5"/>
      <c r="AA33" s="5"/>
      <c r="AB33" s="5"/>
      <c r="AC33" s="5"/>
      <c r="AD33" s="5"/>
      <c r="AE33" s="5"/>
      <c r="AF33" s="5">
        <v>1</v>
      </c>
      <c r="AG33" s="5"/>
      <c r="AH33" s="5"/>
      <c r="AI33" s="5"/>
      <c r="AJ33" s="5" t="str">
        <f t="shared" si="0"/>
        <v>Customisation Budget: 500-1000</v>
      </c>
      <c r="AK33" s="5" t="str">
        <f t="shared" si="1"/>
        <v>Personalisation Budget: 500-1000</v>
      </c>
      <c r="AL33" s="5">
        <v>1</v>
      </c>
      <c r="AM33" s="5"/>
      <c r="AN33" s="5"/>
      <c r="AO33" s="5"/>
      <c r="AP33" s="5"/>
      <c r="AQ33" s="5">
        <v>1</v>
      </c>
      <c r="AR33" s="5"/>
      <c r="AS33" s="5">
        <v>1</v>
      </c>
      <c r="AT33" s="5"/>
      <c r="AU33" s="5"/>
      <c r="AV33" s="5">
        <v>1</v>
      </c>
      <c r="AW33" s="5"/>
      <c r="AX33" s="5"/>
      <c r="AY33" s="5" t="str">
        <f t="shared" si="2"/>
        <v>Customisation likelihood: Very likely</v>
      </c>
      <c r="AZ33" s="5" t="str">
        <f t="shared" si="3"/>
        <v>Interest in personalising car components: Only with professional help</v>
      </c>
      <c r="BA33" s="5" t="str">
        <f t="shared" si="4"/>
        <v>3D design experience: No, I would need a designer to model my sketch</v>
      </c>
      <c r="BB33" s="5"/>
      <c r="BC33" s="5"/>
      <c r="BD33" s="5">
        <v>1</v>
      </c>
      <c r="BE33" s="5"/>
      <c r="BF33" s="5"/>
      <c r="BG33" s="5">
        <v>1</v>
      </c>
      <c r="BH33" s="5"/>
      <c r="BI33" s="5"/>
      <c r="BJ33" s="5"/>
      <c r="BK33" s="5"/>
      <c r="BL33" s="5">
        <v>1</v>
      </c>
      <c r="BM33" s="5"/>
      <c r="BN33" s="5">
        <v>1</v>
      </c>
      <c r="BO33" s="5"/>
      <c r="BP33" s="5"/>
      <c r="BQ33" s="5">
        <v>1</v>
      </c>
      <c r="BR33" s="5"/>
    </row>
    <row r="34" spans="1:70" s="2" customFormat="1" ht="40" customHeight="1" thickBot="1" x14ac:dyDescent="0.35">
      <c r="A34" s="1" t="s">
        <v>0</v>
      </c>
      <c r="B34" s="1" t="s">
        <v>17</v>
      </c>
      <c r="C34" s="1" t="s">
        <v>2</v>
      </c>
      <c r="D34" s="1" t="s">
        <v>3</v>
      </c>
      <c r="E34" s="1" t="s">
        <v>96</v>
      </c>
      <c r="F34" s="1" t="s">
        <v>5</v>
      </c>
      <c r="G34" s="1" t="s">
        <v>10</v>
      </c>
      <c r="H34" s="1" t="s">
        <v>61</v>
      </c>
      <c r="I34" s="1" t="s">
        <v>60</v>
      </c>
      <c r="J34" s="1" t="s">
        <v>16</v>
      </c>
      <c r="K34" s="1" t="s">
        <v>10</v>
      </c>
      <c r="L34" s="1" t="s">
        <v>11</v>
      </c>
      <c r="M34" s="10"/>
      <c r="N34" s="1">
        <v>1</v>
      </c>
      <c r="O34" s="1"/>
      <c r="P34" s="1">
        <v>1</v>
      </c>
      <c r="Q34" s="1"/>
      <c r="R34" s="1">
        <v>1</v>
      </c>
      <c r="S34" s="1"/>
      <c r="T34" s="1">
        <v>1</v>
      </c>
      <c r="U34" s="1"/>
      <c r="V34" s="1">
        <v>1</v>
      </c>
      <c r="W34" s="1"/>
      <c r="X34" s="1"/>
      <c r="Y34" s="1"/>
      <c r="Z34" s="1">
        <v>1</v>
      </c>
      <c r="AA34" s="1"/>
      <c r="AB34" s="1"/>
      <c r="AC34" s="1"/>
      <c r="AD34" s="1"/>
      <c r="AE34" s="1"/>
      <c r="AF34" s="1">
        <v>1</v>
      </c>
      <c r="AG34" s="1"/>
      <c r="AH34" s="1"/>
      <c r="AI34" s="1"/>
      <c r="AJ34" s="1" t="str">
        <f t="shared" ref="AJ34:AJ51" si="5">CONCATENATE("Customisation Budget: ",G34)</f>
        <v>Customisation Budget: 500-1000</v>
      </c>
      <c r="AK34" s="1" t="str">
        <f t="shared" ref="AK34:AK51" si="6">CONCATENATE("Personalisation Budget: ",K34)</f>
        <v>Personalisation Budget: 500-1000</v>
      </c>
      <c r="AL34" s="1">
        <v>1</v>
      </c>
      <c r="AM34" s="1"/>
      <c r="AN34" s="1"/>
      <c r="AO34" s="1"/>
      <c r="AP34" s="1"/>
      <c r="AQ34" s="1">
        <v>1</v>
      </c>
      <c r="AR34" s="1"/>
      <c r="AS34" s="1">
        <v>1</v>
      </c>
      <c r="AT34" s="1"/>
      <c r="AU34" s="1"/>
      <c r="AV34" s="1">
        <v>1</v>
      </c>
      <c r="AW34" s="1"/>
      <c r="AX34" s="1"/>
      <c r="AY34" s="1" t="str">
        <f t="shared" ref="AY34:AY51" si="7">CONCATENATE("Customisation likelihood: ",F34)</f>
        <v>Customisation likelihood: Very likely</v>
      </c>
      <c r="AZ34" s="1" t="str">
        <f t="shared" ref="AZ34:AZ51" si="8">CONCATENATE("Interest in personalising car components: ",J34)</f>
        <v>Interest in personalising car components: Yes</v>
      </c>
      <c r="BA34" s="1" t="str">
        <f t="shared" ref="BA34:BA51" si="9">CONCATENATE("3D design experience: ",L34)</f>
        <v>3D design experience: No, I would need a designer to model my sketch</v>
      </c>
      <c r="BB34" s="21"/>
      <c r="BC34" s="21"/>
      <c r="BD34" s="21">
        <v>1</v>
      </c>
      <c r="BE34" s="21"/>
      <c r="BF34" s="21"/>
      <c r="BG34" s="21">
        <v>1</v>
      </c>
      <c r="BH34" s="21"/>
      <c r="BI34" s="21"/>
      <c r="BJ34" s="21"/>
      <c r="BK34" s="21"/>
      <c r="BL34" s="21">
        <v>1</v>
      </c>
      <c r="BM34" s="21"/>
      <c r="BN34" s="21"/>
      <c r="BO34" s="21">
        <v>1</v>
      </c>
      <c r="BP34" s="21"/>
      <c r="BQ34" s="21">
        <v>1</v>
      </c>
      <c r="BR34" s="21"/>
    </row>
    <row r="35" spans="1:70" s="6" customFormat="1" ht="40" customHeight="1" thickBot="1" x14ac:dyDescent="0.35">
      <c r="A35" s="5" t="s">
        <v>0</v>
      </c>
      <c r="B35" s="5" t="s">
        <v>1</v>
      </c>
      <c r="C35" s="5" t="s">
        <v>2</v>
      </c>
      <c r="D35" s="5" t="s">
        <v>3</v>
      </c>
      <c r="E35" s="5" t="s">
        <v>38</v>
      </c>
      <c r="F35" s="5" t="s">
        <v>5</v>
      </c>
      <c r="G35" s="5" t="s">
        <v>10</v>
      </c>
      <c r="H35" s="5" t="s">
        <v>27</v>
      </c>
      <c r="I35" s="5" t="s">
        <v>55</v>
      </c>
      <c r="J35" s="5" t="s">
        <v>9</v>
      </c>
      <c r="K35" s="5" t="s">
        <v>10</v>
      </c>
      <c r="L35" s="5" t="s">
        <v>11</v>
      </c>
      <c r="M35" s="12" t="s">
        <v>97</v>
      </c>
      <c r="N35" s="5">
        <v>1</v>
      </c>
      <c r="O35" s="5">
        <v>1</v>
      </c>
      <c r="P35" s="5">
        <v>1</v>
      </c>
      <c r="Q35" s="5"/>
      <c r="R35" s="5">
        <v>1</v>
      </c>
      <c r="S35" s="5">
        <v>1</v>
      </c>
      <c r="T35" s="5">
        <v>1</v>
      </c>
      <c r="U35" s="5"/>
      <c r="V35" s="5">
        <v>1</v>
      </c>
      <c r="W35" s="5">
        <v>1</v>
      </c>
      <c r="X35" s="5">
        <v>1</v>
      </c>
      <c r="Y35" s="5">
        <v>1</v>
      </c>
      <c r="Z35" s="5">
        <v>1</v>
      </c>
      <c r="AA35" s="5"/>
      <c r="AB35" s="5"/>
      <c r="AC35" s="5"/>
      <c r="AD35" s="5"/>
      <c r="AE35" s="5">
        <v>1</v>
      </c>
      <c r="AF35" s="5">
        <v>1</v>
      </c>
      <c r="AG35" s="5">
        <v>1</v>
      </c>
      <c r="AH35" s="5"/>
      <c r="AI35" s="5"/>
      <c r="AJ35" s="5" t="str">
        <f t="shared" si="5"/>
        <v>Customisation Budget: 500-1000</v>
      </c>
      <c r="AK35" s="5" t="str">
        <f t="shared" si="6"/>
        <v>Personalisation Budget: 500-1000</v>
      </c>
      <c r="AL35" s="5">
        <v>1</v>
      </c>
      <c r="AM35" s="5"/>
      <c r="AN35" s="5"/>
      <c r="AO35" s="5"/>
      <c r="AP35" s="5">
        <v>1</v>
      </c>
      <c r="AQ35" s="5"/>
      <c r="AR35" s="5"/>
      <c r="AS35" s="5">
        <v>1</v>
      </c>
      <c r="AT35" s="5"/>
      <c r="AU35" s="5"/>
      <c r="AV35" s="5">
        <v>1</v>
      </c>
      <c r="AW35" s="5"/>
      <c r="AX35" s="5"/>
      <c r="AY35" s="5" t="str">
        <f t="shared" si="7"/>
        <v>Customisation likelihood: Very likely</v>
      </c>
      <c r="AZ35" s="5" t="str">
        <f t="shared" si="8"/>
        <v>Interest in personalising car components: Only with professional help</v>
      </c>
      <c r="BA35" s="5" t="str">
        <f t="shared" si="9"/>
        <v>3D design experience: No, I would need a designer to model my sketch</v>
      </c>
      <c r="BB35" s="5"/>
      <c r="BC35" s="5"/>
      <c r="BD35" s="5">
        <v>1</v>
      </c>
      <c r="BE35" s="5"/>
      <c r="BF35" s="5"/>
      <c r="BG35" s="5">
        <v>1</v>
      </c>
      <c r="BH35" s="5"/>
      <c r="BI35" s="5"/>
      <c r="BJ35" s="5"/>
      <c r="BK35" s="5"/>
      <c r="BL35" s="5">
        <v>1</v>
      </c>
      <c r="BM35" s="5"/>
      <c r="BN35" s="5">
        <v>1</v>
      </c>
      <c r="BO35" s="5"/>
      <c r="BP35" s="5"/>
      <c r="BQ35" s="5">
        <v>1</v>
      </c>
      <c r="BR35" s="5"/>
    </row>
    <row r="36" spans="1:70" s="2" customFormat="1" ht="40" customHeight="1" thickBot="1" x14ac:dyDescent="0.35">
      <c r="A36" s="1" t="s">
        <v>0</v>
      </c>
      <c r="B36" s="1" t="s">
        <v>1</v>
      </c>
      <c r="C36" s="1" t="s">
        <v>2</v>
      </c>
      <c r="D36" s="1" t="s">
        <v>3</v>
      </c>
      <c r="E36" s="1" t="s">
        <v>26</v>
      </c>
      <c r="F36" s="1" t="s">
        <v>19</v>
      </c>
      <c r="G36" s="1" t="s">
        <v>13</v>
      </c>
      <c r="H36" s="1" t="s">
        <v>80</v>
      </c>
      <c r="I36" s="1" t="s">
        <v>60</v>
      </c>
      <c r="J36" s="1" t="s">
        <v>16</v>
      </c>
      <c r="K36" s="1" t="s">
        <v>13</v>
      </c>
      <c r="L36" s="1" t="s">
        <v>25</v>
      </c>
      <c r="M36" s="10" t="s">
        <v>98</v>
      </c>
      <c r="N36" s="1">
        <v>1</v>
      </c>
      <c r="O36" s="1">
        <v>1</v>
      </c>
      <c r="P36" s="1">
        <v>1</v>
      </c>
      <c r="Q36" s="1">
        <v>1</v>
      </c>
      <c r="R36" s="1">
        <v>1</v>
      </c>
      <c r="S36" s="1">
        <v>1</v>
      </c>
      <c r="T36" s="1">
        <v>1</v>
      </c>
      <c r="U36" s="1">
        <v>1</v>
      </c>
      <c r="V36" s="1">
        <v>1</v>
      </c>
      <c r="W36" s="1">
        <v>1</v>
      </c>
      <c r="X36" s="1">
        <v>1</v>
      </c>
      <c r="Y36" s="1"/>
      <c r="Z36" s="1"/>
      <c r="AA36" s="1"/>
      <c r="AB36" s="1"/>
      <c r="AC36" s="1"/>
      <c r="AD36" s="1"/>
      <c r="AE36" s="1"/>
      <c r="AF36" s="1">
        <v>1</v>
      </c>
      <c r="AG36" s="1"/>
      <c r="AH36" s="1"/>
      <c r="AI36" s="1"/>
      <c r="AJ36" s="1" t="str">
        <f t="shared" si="5"/>
        <v>Customisation Budget: over 1000</v>
      </c>
      <c r="AK36" s="1" t="str">
        <f t="shared" si="6"/>
        <v>Personalisation Budget: over 1000</v>
      </c>
      <c r="AL36" s="1">
        <v>1</v>
      </c>
      <c r="AM36" s="1"/>
      <c r="AN36" s="1"/>
      <c r="AO36" s="1"/>
      <c r="AP36" s="1">
        <v>1</v>
      </c>
      <c r="AQ36" s="1"/>
      <c r="AR36" s="1"/>
      <c r="AS36" s="1">
        <v>1</v>
      </c>
      <c r="AT36" s="1"/>
      <c r="AU36" s="1"/>
      <c r="AV36" s="1">
        <v>1</v>
      </c>
      <c r="AW36" s="1"/>
      <c r="AX36" s="1"/>
      <c r="AY36" s="1" t="str">
        <f t="shared" si="7"/>
        <v>Customisation likelihood: Likely</v>
      </c>
      <c r="AZ36" s="1" t="str">
        <f t="shared" si="8"/>
        <v>Interest in personalising car components: Yes</v>
      </c>
      <c r="BA36" s="1" t="str">
        <f t="shared" si="9"/>
        <v>3D design experience: Yes, I can design on my own</v>
      </c>
      <c r="BB36" s="21"/>
      <c r="BC36" s="21"/>
      <c r="BD36" s="21"/>
      <c r="BE36" s="21">
        <v>1</v>
      </c>
      <c r="BF36" s="21"/>
      <c r="BG36" s="21"/>
      <c r="BH36" s="21"/>
      <c r="BI36" s="21">
        <v>1</v>
      </c>
      <c r="BJ36" s="21"/>
      <c r="BK36" s="21">
        <v>1</v>
      </c>
      <c r="BL36" s="21"/>
      <c r="BM36" s="21"/>
      <c r="BN36" s="21"/>
      <c r="BO36" s="21">
        <v>1</v>
      </c>
      <c r="BP36" s="21"/>
      <c r="BQ36" s="21"/>
      <c r="BR36" s="21">
        <v>1</v>
      </c>
    </row>
    <row r="37" spans="1:70" s="6" customFormat="1" ht="40" customHeight="1" thickBot="1" x14ac:dyDescent="0.35">
      <c r="A37" s="5" t="s">
        <v>69</v>
      </c>
      <c r="B37" s="5" t="s">
        <v>17</v>
      </c>
      <c r="C37" s="5" t="s">
        <v>44</v>
      </c>
      <c r="D37" s="5" t="s">
        <v>79</v>
      </c>
      <c r="E37" s="5" t="s">
        <v>26</v>
      </c>
      <c r="F37" s="5" t="s">
        <v>5</v>
      </c>
      <c r="G37" s="5" t="s">
        <v>13</v>
      </c>
      <c r="H37" s="5" t="s">
        <v>27</v>
      </c>
      <c r="I37" s="5" t="s">
        <v>15</v>
      </c>
      <c r="J37" s="5" t="s">
        <v>36</v>
      </c>
      <c r="K37" s="5" t="s">
        <v>13</v>
      </c>
      <c r="L37" s="5" t="s">
        <v>11</v>
      </c>
      <c r="M37" s="12" t="s">
        <v>99</v>
      </c>
      <c r="N37" s="5">
        <v>1</v>
      </c>
      <c r="O37" s="5">
        <v>1</v>
      </c>
      <c r="P37" s="5">
        <v>1</v>
      </c>
      <c r="Q37" s="5">
        <v>1</v>
      </c>
      <c r="R37" s="5">
        <v>1</v>
      </c>
      <c r="S37" s="5">
        <v>1</v>
      </c>
      <c r="T37" s="5">
        <v>1</v>
      </c>
      <c r="U37" s="5">
        <v>1</v>
      </c>
      <c r="V37" s="5">
        <v>1</v>
      </c>
      <c r="W37" s="5">
        <v>1</v>
      </c>
      <c r="X37" s="5">
        <v>1</v>
      </c>
      <c r="Y37" s="5">
        <v>1</v>
      </c>
      <c r="Z37" s="5">
        <v>1</v>
      </c>
      <c r="AA37" s="5"/>
      <c r="AB37" s="5"/>
      <c r="AC37" s="5"/>
      <c r="AD37" s="5">
        <v>1</v>
      </c>
      <c r="AE37" s="5">
        <v>1</v>
      </c>
      <c r="AF37" s="5">
        <v>1</v>
      </c>
      <c r="AG37" s="5">
        <v>1</v>
      </c>
      <c r="AH37" s="5"/>
      <c r="AI37" s="5"/>
      <c r="AJ37" s="5" t="str">
        <f t="shared" si="5"/>
        <v>Customisation Budget: over 1000</v>
      </c>
      <c r="AK37" s="5" t="str">
        <f t="shared" si="6"/>
        <v>Personalisation Budget: over 1000</v>
      </c>
      <c r="AL37" s="5"/>
      <c r="AM37" s="5"/>
      <c r="AN37" s="5">
        <v>1</v>
      </c>
      <c r="AO37" s="5"/>
      <c r="AP37" s="5"/>
      <c r="AQ37" s="5">
        <v>1</v>
      </c>
      <c r="AR37" s="5"/>
      <c r="AS37" s="5"/>
      <c r="AT37" s="5"/>
      <c r="AU37" s="5">
        <v>1</v>
      </c>
      <c r="AV37" s="5"/>
      <c r="AW37" s="5"/>
      <c r="AX37" s="5">
        <v>1</v>
      </c>
      <c r="AY37" s="5" t="str">
        <f t="shared" si="7"/>
        <v>Customisation likelihood: Very likely</v>
      </c>
      <c r="AZ37" s="5" t="str">
        <f t="shared" si="8"/>
        <v>Interest in personalising car components: No</v>
      </c>
      <c r="BA37" s="5" t="str">
        <f t="shared" si="9"/>
        <v>3D design experience: No, I would need a designer to model my sketch</v>
      </c>
      <c r="BB37" s="5"/>
      <c r="BC37" s="5"/>
      <c r="BD37" s="5"/>
      <c r="BE37" s="5">
        <v>1</v>
      </c>
      <c r="BF37" s="5"/>
      <c r="BG37" s="5"/>
      <c r="BH37" s="5"/>
      <c r="BI37" s="5">
        <v>1</v>
      </c>
      <c r="BJ37" s="5"/>
      <c r="BK37" s="5"/>
      <c r="BL37" s="5">
        <v>1</v>
      </c>
      <c r="BM37" s="5"/>
      <c r="BN37" s="5"/>
      <c r="BO37" s="5"/>
      <c r="BP37" s="5">
        <v>1</v>
      </c>
      <c r="BQ37" s="5">
        <v>1</v>
      </c>
      <c r="BR37" s="5"/>
    </row>
    <row r="38" spans="1:70" s="2" customFormat="1" ht="40" customHeight="1" thickBot="1" x14ac:dyDescent="0.35">
      <c r="A38" s="1" t="s">
        <v>0</v>
      </c>
      <c r="B38" s="1" t="s">
        <v>1</v>
      </c>
      <c r="C38" s="1" t="s">
        <v>2</v>
      </c>
      <c r="D38" s="1" t="s">
        <v>3</v>
      </c>
      <c r="E38" s="1" t="s">
        <v>100</v>
      </c>
      <c r="F38" s="1" t="s">
        <v>58</v>
      </c>
      <c r="G38" s="1" t="s">
        <v>10</v>
      </c>
      <c r="H38" s="1" t="s">
        <v>32</v>
      </c>
      <c r="I38" s="1" t="s">
        <v>60</v>
      </c>
      <c r="J38" s="1" t="s">
        <v>9</v>
      </c>
      <c r="K38" s="1" t="s">
        <v>10</v>
      </c>
      <c r="L38" s="1" t="s">
        <v>11</v>
      </c>
      <c r="M38" s="10"/>
      <c r="N38" s="1">
        <v>1</v>
      </c>
      <c r="O38" s="1">
        <v>1</v>
      </c>
      <c r="P38" s="1"/>
      <c r="Q38" s="1"/>
      <c r="R38" s="1">
        <v>1</v>
      </c>
      <c r="S38" s="1">
        <v>1</v>
      </c>
      <c r="T38" s="1">
        <v>1</v>
      </c>
      <c r="U38" s="1">
        <v>1</v>
      </c>
      <c r="V38" s="1"/>
      <c r="W38" s="1">
        <v>1</v>
      </c>
      <c r="X38" s="1">
        <v>1</v>
      </c>
      <c r="Y38" s="1"/>
      <c r="Z38" s="1"/>
      <c r="AA38" s="1"/>
      <c r="AB38" s="1"/>
      <c r="AC38" s="1"/>
      <c r="AD38" s="1"/>
      <c r="AE38" s="1"/>
      <c r="AF38" s="1">
        <v>1</v>
      </c>
      <c r="AG38" s="1"/>
      <c r="AH38" s="1"/>
      <c r="AI38" s="1"/>
      <c r="AJ38" s="1" t="str">
        <f t="shared" si="5"/>
        <v>Customisation Budget: 500-1000</v>
      </c>
      <c r="AK38" s="1" t="str">
        <f t="shared" si="6"/>
        <v>Personalisation Budget: 500-1000</v>
      </c>
      <c r="AL38" s="1">
        <v>1</v>
      </c>
      <c r="AM38" s="1"/>
      <c r="AN38" s="1"/>
      <c r="AO38" s="1"/>
      <c r="AP38" s="1">
        <v>1</v>
      </c>
      <c r="AQ38" s="1"/>
      <c r="AR38" s="1"/>
      <c r="AS38" s="1">
        <v>1</v>
      </c>
      <c r="AT38" s="1"/>
      <c r="AU38" s="1"/>
      <c r="AV38" s="1">
        <v>1</v>
      </c>
      <c r="AW38" s="1"/>
      <c r="AX38" s="1"/>
      <c r="AY38" s="1" t="str">
        <f t="shared" si="7"/>
        <v>Customisation likelihood: Not likely</v>
      </c>
      <c r="AZ38" s="1" t="str">
        <f t="shared" si="8"/>
        <v>Interest in personalising car components: Only with professional help</v>
      </c>
      <c r="BA38" s="1" t="str">
        <f t="shared" si="9"/>
        <v>3D design experience: No, I would need a designer to model my sketch</v>
      </c>
      <c r="BB38" s="21"/>
      <c r="BC38" s="21"/>
      <c r="BD38" s="21">
        <v>1</v>
      </c>
      <c r="BE38" s="21"/>
      <c r="BF38" s="21"/>
      <c r="BG38" s="21">
        <v>1</v>
      </c>
      <c r="BH38" s="21"/>
      <c r="BI38" s="21"/>
      <c r="BJ38" s="21"/>
      <c r="BK38" s="21"/>
      <c r="BL38" s="21"/>
      <c r="BM38" s="21">
        <v>1</v>
      </c>
      <c r="BN38" s="21">
        <v>1</v>
      </c>
      <c r="BO38" s="21"/>
      <c r="BP38" s="21"/>
      <c r="BQ38" s="21">
        <v>1</v>
      </c>
      <c r="BR38" s="21"/>
    </row>
    <row r="39" spans="1:70" s="6" customFormat="1" ht="40" customHeight="1" thickBot="1" x14ac:dyDescent="0.35">
      <c r="A39" s="5" t="s">
        <v>69</v>
      </c>
      <c r="B39" s="5" t="s">
        <v>1</v>
      </c>
      <c r="C39" s="5" t="s">
        <v>44</v>
      </c>
      <c r="D39" s="5" t="s">
        <v>79</v>
      </c>
      <c r="E39" s="5" t="s">
        <v>101</v>
      </c>
      <c r="F39" s="5" t="s">
        <v>19</v>
      </c>
      <c r="G39" s="5" t="s">
        <v>21</v>
      </c>
      <c r="H39" s="5" t="s">
        <v>34</v>
      </c>
      <c r="I39" s="5" t="s">
        <v>24</v>
      </c>
      <c r="J39" s="5" t="s">
        <v>9</v>
      </c>
      <c r="K39" s="5" t="s">
        <v>21</v>
      </c>
      <c r="L39" s="5" t="s">
        <v>25</v>
      </c>
      <c r="M39" s="12" t="s">
        <v>102</v>
      </c>
      <c r="N39" s="5">
        <v>1</v>
      </c>
      <c r="O39" s="5">
        <v>1</v>
      </c>
      <c r="P39" s="5">
        <v>1</v>
      </c>
      <c r="Q39" s="5">
        <v>1</v>
      </c>
      <c r="R39" s="5">
        <v>1</v>
      </c>
      <c r="S39" s="5">
        <v>1</v>
      </c>
      <c r="T39" s="5">
        <v>1</v>
      </c>
      <c r="U39" s="5"/>
      <c r="V39" s="5"/>
      <c r="W39" s="5">
        <v>1</v>
      </c>
      <c r="X39" s="5">
        <v>1</v>
      </c>
      <c r="Y39" s="5"/>
      <c r="Z39" s="5">
        <v>1</v>
      </c>
      <c r="AA39" s="5"/>
      <c r="AB39" s="5"/>
      <c r="AC39" s="5"/>
      <c r="AD39" s="5"/>
      <c r="AE39" s="5">
        <v>1</v>
      </c>
      <c r="AF39" s="5">
        <v>1</v>
      </c>
      <c r="AG39" s="5"/>
      <c r="AH39" s="5"/>
      <c r="AI39" s="5"/>
      <c r="AJ39" s="5" t="str">
        <f t="shared" si="5"/>
        <v>Customisation Budget: under 500</v>
      </c>
      <c r="AK39" s="5" t="str">
        <f t="shared" si="6"/>
        <v>Personalisation Budget: under 500</v>
      </c>
      <c r="AL39" s="5"/>
      <c r="AM39" s="5"/>
      <c r="AN39" s="5">
        <v>1</v>
      </c>
      <c r="AO39" s="5"/>
      <c r="AP39" s="5">
        <v>1</v>
      </c>
      <c r="AQ39" s="5"/>
      <c r="AR39" s="5"/>
      <c r="AS39" s="5"/>
      <c r="AT39" s="5"/>
      <c r="AU39" s="5">
        <v>1</v>
      </c>
      <c r="AV39" s="5"/>
      <c r="AW39" s="5"/>
      <c r="AX39" s="5">
        <v>1</v>
      </c>
      <c r="AY39" s="5" t="str">
        <f t="shared" si="7"/>
        <v>Customisation likelihood: Likely</v>
      </c>
      <c r="AZ39" s="5" t="str">
        <f t="shared" si="8"/>
        <v>Interest in personalising car components: Only with professional help</v>
      </c>
      <c r="BA39" s="5" t="str">
        <f t="shared" si="9"/>
        <v>3D design experience: Yes, I can design on my own</v>
      </c>
      <c r="BB39" s="5"/>
      <c r="BC39" s="5">
        <v>1</v>
      </c>
      <c r="BD39" s="5"/>
      <c r="BE39" s="5"/>
      <c r="BF39" s="5"/>
      <c r="BG39" s="5"/>
      <c r="BH39" s="5">
        <v>1</v>
      </c>
      <c r="BI39" s="5"/>
      <c r="BJ39" s="5"/>
      <c r="BK39" s="5">
        <v>1</v>
      </c>
      <c r="BL39" s="5"/>
      <c r="BM39" s="5"/>
      <c r="BN39" s="5">
        <v>1</v>
      </c>
      <c r="BO39" s="5"/>
      <c r="BP39" s="5"/>
      <c r="BQ39" s="5"/>
      <c r="BR39" s="5">
        <v>1</v>
      </c>
    </row>
    <row r="40" spans="1:70" s="2" customFormat="1" ht="40" customHeight="1" thickBot="1" x14ac:dyDescent="0.35">
      <c r="A40" s="1" t="s">
        <v>0</v>
      </c>
      <c r="B40" s="1" t="s">
        <v>1</v>
      </c>
      <c r="C40" s="1" t="s">
        <v>2</v>
      </c>
      <c r="D40" s="1" t="s">
        <v>3</v>
      </c>
      <c r="E40" s="1" t="s">
        <v>103</v>
      </c>
      <c r="F40" s="1" t="s">
        <v>5</v>
      </c>
      <c r="G40" s="1" t="s">
        <v>13</v>
      </c>
      <c r="H40" s="1" t="s">
        <v>14</v>
      </c>
      <c r="I40" s="1" t="s">
        <v>15</v>
      </c>
      <c r="J40" s="1" t="s">
        <v>9</v>
      </c>
      <c r="K40" s="1" t="s">
        <v>13</v>
      </c>
      <c r="L40" s="1" t="s">
        <v>25</v>
      </c>
      <c r="M40" s="10"/>
      <c r="N40" s="1"/>
      <c r="O40" s="1">
        <v>1</v>
      </c>
      <c r="P40" s="1"/>
      <c r="Q40" s="1">
        <v>1</v>
      </c>
      <c r="R40" s="1">
        <v>1</v>
      </c>
      <c r="S40" s="1"/>
      <c r="T40" s="1">
        <v>1</v>
      </c>
      <c r="U40" s="1"/>
      <c r="V40" s="1"/>
      <c r="W40" s="1">
        <v>1</v>
      </c>
      <c r="X40" s="1"/>
      <c r="Y40" s="1"/>
      <c r="Z40" s="1"/>
      <c r="AA40" s="1"/>
      <c r="AB40" s="1"/>
      <c r="AC40" s="1"/>
      <c r="AD40" s="1">
        <v>1</v>
      </c>
      <c r="AE40" s="1">
        <v>1</v>
      </c>
      <c r="AF40" s="1">
        <v>1</v>
      </c>
      <c r="AG40" s="1">
        <v>1</v>
      </c>
      <c r="AH40" s="1"/>
      <c r="AI40" s="1"/>
      <c r="AJ40" s="1" t="str">
        <f t="shared" si="5"/>
        <v>Customisation Budget: over 1000</v>
      </c>
      <c r="AK40" s="1" t="str">
        <f t="shared" si="6"/>
        <v>Personalisation Budget: over 1000</v>
      </c>
      <c r="AL40" s="1">
        <v>1</v>
      </c>
      <c r="AM40" s="1"/>
      <c r="AN40" s="1"/>
      <c r="AO40" s="1"/>
      <c r="AP40" s="1">
        <v>1</v>
      </c>
      <c r="AQ40" s="1"/>
      <c r="AR40" s="1"/>
      <c r="AS40" s="1">
        <v>1</v>
      </c>
      <c r="AT40" s="1"/>
      <c r="AU40" s="1"/>
      <c r="AV40" s="1">
        <v>1</v>
      </c>
      <c r="AW40" s="1"/>
      <c r="AX40" s="1"/>
      <c r="AY40" s="1" t="str">
        <f t="shared" si="7"/>
        <v>Customisation likelihood: Very likely</v>
      </c>
      <c r="AZ40" s="1" t="str">
        <f t="shared" si="8"/>
        <v>Interest in personalising car components: Only with professional help</v>
      </c>
      <c r="BA40" s="1" t="str">
        <f t="shared" si="9"/>
        <v>3D design experience: Yes, I can design on my own</v>
      </c>
      <c r="BB40" s="21"/>
      <c r="BC40" s="21"/>
      <c r="BD40" s="21"/>
      <c r="BE40" s="21">
        <v>1</v>
      </c>
      <c r="BF40" s="21"/>
      <c r="BG40" s="21"/>
      <c r="BH40" s="21"/>
      <c r="BI40" s="21">
        <v>1</v>
      </c>
      <c r="BJ40" s="21"/>
      <c r="BK40" s="21"/>
      <c r="BL40" s="21">
        <v>1</v>
      </c>
      <c r="BM40" s="21"/>
      <c r="BN40" s="21">
        <v>1</v>
      </c>
      <c r="BO40" s="21"/>
      <c r="BP40" s="21"/>
      <c r="BQ40" s="21"/>
      <c r="BR40" s="21">
        <v>1</v>
      </c>
    </row>
    <row r="41" spans="1:70" s="6" customFormat="1" ht="40" customHeight="1" thickBot="1" x14ac:dyDescent="0.35">
      <c r="A41" s="5" t="s">
        <v>0</v>
      </c>
      <c r="B41" s="5" t="s">
        <v>1</v>
      </c>
      <c r="C41" s="5" t="s">
        <v>2</v>
      </c>
      <c r="D41" s="5" t="s">
        <v>3</v>
      </c>
      <c r="E41" s="5" t="s">
        <v>104</v>
      </c>
      <c r="F41" s="5" t="s">
        <v>5</v>
      </c>
      <c r="G41" s="5" t="s">
        <v>10</v>
      </c>
      <c r="H41" s="5" t="s">
        <v>59</v>
      </c>
      <c r="I41" s="5" t="s">
        <v>64</v>
      </c>
      <c r="J41" s="5" t="s">
        <v>16</v>
      </c>
      <c r="K41" s="5" t="s">
        <v>10</v>
      </c>
      <c r="L41" s="5" t="s">
        <v>11</v>
      </c>
      <c r="M41" s="12"/>
      <c r="N41" s="5"/>
      <c r="O41" s="5"/>
      <c r="P41" s="5"/>
      <c r="Q41" s="5"/>
      <c r="R41" s="5"/>
      <c r="S41" s="5"/>
      <c r="T41" s="5"/>
      <c r="U41" s="5">
        <v>1</v>
      </c>
      <c r="V41" s="5"/>
      <c r="W41" s="5"/>
      <c r="X41" s="5"/>
      <c r="Y41" s="5"/>
      <c r="Z41" s="5">
        <v>1</v>
      </c>
      <c r="AA41" s="5"/>
      <c r="AB41" s="5"/>
      <c r="AC41" s="5"/>
      <c r="AD41" s="5"/>
      <c r="AE41" s="5">
        <v>1</v>
      </c>
      <c r="AF41" s="5"/>
      <c r="AG41" s="5"/>
      <c r="AH41" s="5"/>
      <c r="AI41" s="5"/>
      <c r="AJ41" s="5" t="str">
        <f t="shared" si="5"/>
        <v>Customisation Budget: 500-1000</v>
      </c>
      <c r="AK41" s="5" t="str">
        <f t="shared" si="6"/>
        <v>Personalisation Budget: 500-1000</v>
      </c>
      <c r="AL41" s="5">
        <v>1</v>
      </c>
      <c r="AM41" s="5"/>
      <c r="AN41" s="5"/>
      <c r="AO41" s="5"/>
      <c r="AP41" s="5">
        <v>1</v>
      </c>
      <c r="AQ41" s="5"/>
      <c r="AR41" s="5"/>
      <c r="AS41" s="5">
        <v>1</v>
      </c>
      <c r="AT41" s="5"/>
      <c r="AU41" s="5"/>
      <c r="AV41" s="5">
        <v>1</v>
      </c>
      <c r="AW41" s="5"/>
      <c r="AX41" s="5"/>
      <c r="AY41" s="5" t="str">
        <f t="shared" si="7"/>
        <v>Customisation likelihood: Very likely</v>
      </c>
      <c r="AZ41" s="5" t="str">
        <f t="shared" si="8"/>
        <v>Interest in personalising car components: Yes</v>
      </c>
      <c r="BA41" s="5" t="str">
        <f t="shared" si="9"/>
        <v>3D design experience: No, I would need a designer to model my sketch</v>
      </c>
      <c r="BB41" s="5"/>
      <c r="BC41" s="5"/>
      <c r="BD41" s="5">
        <v>1</v>
      </c>
      <c r="BE41" s="5"/>
      <c r="BF41" s="5"/>
      <c r="BG41" s="5">
        <v>1</v>
      </c>
      <c r="BH41" s="5"/>
      <c r="BI41" s="5"/>
      <c r="BJ41" s="5"/>
      <c r="BK41" s="5"/>
      <c r="BL41" s="5">
        <v>1</v>
      </c>
      <c r="BM41" s="5"/>
      <c r="BN41" s="5"/>
      <c r="BO41" s="5">
        <v>1</v>
      </c>
      <c r="BP41" s="5"/>
      <c r="BQ41" s="5">
        <v>1</v>
      </c>
      <c r="BR41" s="5"/>
    </row>
    <row r="42" spans="1:70" s="2" customFormat="1" ht="40" customHeight="1" thickBot="1" x14ac:dyDescent="0.35">
      <c r="A42" s="1" t="s">
        <v>43</v>
      </c>
      <c r="B42" s="1" t="s">
        <v>1</v>
      </c>
      <c r="C42" s="1" t="s">
        <v>44</v>
      </c>
      <c r="D42" s="1" t="s">
        <v>45</v>
      </c>
      <c r="E42" s="1" t="s">
        <v>105</v>
      </c>
      <c r="F42" s="1" t="s">
        <v>19</v>
      </c>
      <c r="G42" s="1" t="s">
        <v>10</v>
      </c>
      <c r="H42" s="1" t="s">
        <v>68</v>
      </c>
      <c r="I42" s="1" t="s">
        <v>24</v>
      </c>
      <c r="J42" s="1" t="s">
        <v>16</v>
      </c>
      <c r="K42" s="1" t="s">
        <v>21</v>
      </c>
      <c r="L42" s="1" t="s">
        <v>11</v>
      </c>
      <c r="M42" s="10"/>
      <c r="N42" s="1">
        <v>1</v>
      </c>
      <c r="O42" s="1"/>
      <c r="P42" s="1"/>
      <c r="Q42" s="1"/>
      <c r="R42" s="1">
        <v>1</v>
      </c>
      <c r="S42" s="1">
        <v>1</v>
      </c>
      <c r="T42" s="1"/>
      <c r="U42" s="1">
        <v>1</v>
      </c>
      <c r="V42" s="1">
        <v>1</v>
      </c>
      <c r="W42" s="1">
        <v>1</v>
      </c>
      <c r="X42" s="1"/>
      <c r="Y42" s="1">
        <v>1</v>
      </c>
      <c r="Z42" s="1">
        <v>1</v>
      </c>
      <c r="AA42" s="1"/>
      <c r="AB42" s="1"/>
      <c r="AC42" s="1"/>
      <c r="AD42" s="1"/>
      <c r="AE42" s="1">
        <v>1</v>
      </c>
      <c r="AF42" s="1">
        <v>1</v>
      </c>
      <c r="AG42" s="1"/>
      <c r="AH42" s="1"/>
      <c r="AI42" s="1"/>
      <c r="AJ42" s="1" t="str">
        <f t="shared" si="5"/>
        <v>Customisation Budget: 500-1000</v>
      </c>
      <c r="AK42" s="1" t="str">
        <f t="shared" si="6"/>
        <v>Personalisation Budget: under 500</v>
      </c>
      <c r="AL42" s="1"/>
      <c r="AM42" s="1">
        <v>1</v>
      </c>
      <c r="AN42" s="1"/>
      <c r="AO42" s="1"/>
      <c r="AP42" s="1">
        <v>1</v>
      </c>
      <c r="AQ42" s="1"/>
      <c r="AR42" s="1"/>
      <c r="AS42" s="1"/>
      <c r="AT42" s="1"/>
      <c r="AU42" s="1">
        <v>1</v>
      </c>
      <c r="AV42" s="1"/>
      <c r="AW42" s="1">
        <v>1</v>
      </c>
      <c r="AX42" s="1"/>
      <c r="AY42" s="1" t="str">
        <f t="shared" si="7"/>
        <v>Customisation likelihood: Likely</v>
      </c>
      <c r="AZ42" s="1" t="str">
        <f t="shared" si="8"/>
        <v>Interest in personalising car components: Yes</v>
      </c>
      <c r="BA42" s="1" t="str">
        <f t="shared" si="9"/>
        <v>3D design experience: No, I would need a designer to model my sketch</v>
      </c>
      <c r="BB42" s="21"/>
      <c r="BC42" s="21"/>
      <c r="BD42" s="21">
        <v>1</v>
      </c>
      <c r="BE42" s="21"/>
      <c r="BF42" s="21"/>
      <c r="BG42" s="21"/>
      <c r="BH42" s="21">
        <v>1</v>
      </c>
      <c r="BI42" s="21"/>
      <c r="BJ42" s="21"/>
      <c r="BK42" s="21">
        <v>1</v>
      </c>
      <c r="BL42" s="21"/>
      <c r="BM42" s="21"/>
      <c r="BN42" s="21"/>
      <c r="BO42" s="21">
        <v>1</v>
      </c>
      <c r="BP42" s="21"/>
      <c r="BQ42" s="21">
        <v>1</v>
      </c>
      <c r="BR42" s="21"/>
    </row>
    <row r="43" spans="1:70" s="6" customFormat="1" ht="40" customHeight="1" thickBot="1" x14ac:dyDescent="0.35">
      <c r="A43" s="5" t="s">
        <v>57</v>
      </c>
      <c r="B43" s="5" t="s">
        <v>1</v>
      </c>
      <c r="C43" s="5" t="s">
        <v>44</v>
      </c>
      <c r="D43" s="5" t="s">
        <v>79</v>
      </c>
      <c r="E43" s="5" t="s">
        <v>106</v>
      </c>
      <c r="F43" s="5" t="s">
        <v>19</v>
      </c>
      <c r="G43" s="5" t="s">
        <v>10</v>
      </c>
      <c r="H43" s="5" t="s">
        <v>80</v>
      </c>
      <c r="I43" s="5" t="s">
        <v>107</v>
      </c>
      <c r="J43" s="5" t="s">
        <v>9</v>
      </c>
      <c r="K43" s="5" t="s">
        <v>10</v>
      </c>
      <c r="L43" s="5" t="s">
        <v>11</v>
      </c>
      <c r="M43" s="12" t="s">
        <v>108</v>
      </c>
      <c r="N43" s="5">
        <v>1</v>
      </c>
      <c r="O43" s="5"/>
      <c r="P43" s="5">
        <v>1</v>
      </c>
      <c r="Q43" s="5"/>
      <c r="R43" s="5">
        <v>1</v>
      </c>
      <c r="S43" s="5">
        <v>1</v>
      </c>
      <c r="T43" s="5"/>
      <c r="U43" s="5">
        <v>1</v>
      </c>
      <c r="V43" s="5">
        <v>1</v>
      </c>
      <c r="W43" s="5">
        <v>1</v>
      </c>
      <c r="X43" s="5">
        <v>1</v>
      </c>
      <c r="Y43" s="5"/>
      <c r="Z43" s="5"/>
      <c r="AA43" s="5"/>
      <c r="AB43" s="5"/>
      <c r="AC43" s="5"/>
      <c r="AD43" s="5"/>
      <c r="AE43" s="5">
        <v>1</v>
      </c>
      <c r="AF43" s="5">
        <v>1</v>
      </c>
      <c r="AG43" s="5"/>
      <c r="AH43" s="5"/>
      <c r="AI43" s="5">
        <v>1</v>
      </c>
      <c r="AJ43" s="5" t="str">
        <f t="shared" si="5"/>
        <v>Customisation Budget: 500-1000</v>
      </c>
      <c r="AK43" s="5" t="str">
        <f t="shared" si="6"/>
        <v>Personalisation Budget: 500-1000</v>
      </c>
      <c r="AL43" s="5"/>
      <c r="AM43" s="5"/>
      <c r="AN43" s="5"/>
      <c r="AO43" s="5">
        <v>1</v>
      </c>
      <c r="AP43" s="5">
        <v>1</v>
      </c>
      <c r="AQ43" s="5"/>
      <c r="AR43" s="5"/>
      <c r="AS43" s="5"/>
      <c r="AT43" s="5"/>
      <c r="AU43" s="5">
        <v>1</v>
      </c>
      <c r="AV43" s="5"/>
      <c r="AW43" s="5"/>
      <c r="AX43" s="5">
        <v>1</v>
      </c>
      <c r="AY43" s="5" t="str">
        <f t="shared" si="7"/>
        <v>Customisation likelihood: Likely</v>
      </c>
      <c r="AZ43" s="5" t="str">
        <f t="shared" si="8"/>
        <v>Interest in personalising car components: Only with professional help</v>
      </c>
      <c r="BA43" s="5" t="str">
        <f t="shared" si="9"/>
        <v>3D design experience: No, I would need a designer to model my sketch</v>
      </c>
      <c r="BB43" s="5"/>
      <c r="BC43" s="5"/>
      <c r="BD43" s="5">
        <v>1</v>
      </c>
      <c r="BE43" s="5"/>
      <c r="BF43" s="5"/>
      <c r="BG43" s="5">
        <v>1</v>
      </c>
      <c r="BH43" s="5"/>
      <c r="BI43" s="5"/>
      <c r="BJ43" s="5"/>
      <c r="BK43" s="5">
        <v>1</v>
      </c>
      <c r="BL43" s="5"/>
      <c r="BM43" s="5"/>
      <c r="BN43" s="5">
        <v>1</v>
      </c>
      <c r="BO43" s="5"/>
      <c r="BP43" s="5"/>
      <c r="BQ43" s="5">
        <v>1</v>
      </c>
      <c r="BR43" s="5"/>
    </row>
    <row r="44" spans="1:70" s="2" customFormat="1" ht="40" customHeight="1" thickBot="1" x14ac:dyDescent="0.35">
      <c r="A44" s="1" t="s">
        <v>0</v>
      </c>
      <c r="B44" s="1" t="s">
        <v>1</v>
      </c>
      <c r="C44" s="1" t="s">
        <v>2</v>
      </c>
      <c r="D44" s="1" t="s">
        <v>3</v>
      </c>
      <c r="E44" s="1" t="s">
        <v>28</v>
      </c>
      <c r="F44" s="1" t="s">
        <v>5</v>
      </c>
      <c r="G44" s="1" t="s">
        <v>21</v>
      </c>
      <c r="H44" s="1" t="s">
        <v>109</v>
      </c>
      <c r="I44" s="1" t="s">
        <v>30</v>
      </c>
      <c r="J44" s="1" t="s">
        <v>16</v>
      </c>
      <c r="K44" s="1">
        <v>0</v>
      </c>
      <c r="L44" s="1" t="s">
        <v>11</v>
      </c>
      <c r="M44" s="10" t="s">
        <v>110</v>
      </c>
      <c r="N44" s="1">
        <v>1</v>
      </c>
      <c r="O44" s="1">
        <v>1</v>
      </c>
      <c r="P44" s="1"/>
      <c r="Q44" s="1"/>
      <c r="R44" s="1">
        <v>1</v>
      </c>
      <c r="S44" s="1">
        <v>1</v>
      </c>
      <c r="T44" s="1">
        <v>1</v>
      </c>
      <c r="U44" s="1"/>
      <c r="V44" s="1"/>
      <c r="W44" s="1">
        <v>1</v>
      </c>
      <c r="X44" s="1">
        <v>1</v>
      </c>
      <c r="Y44" s="1"/>
      <c r="Z44" s="1">
        <v>1</v>
      </c>
      <c r="AA44" s="1"/>
      <c r="AB44" s="1"/>
      <c r="AC44" s="1">
        <v>1</v>
      </c>
      <c r="AD44" s="1">
        <v>1</v>
      </c>
      <c r="AE44" s="1">
        <v>1</v>
      </c>
      <c r="AF44" s="1"/>
      <c r="AG44" s="1"/>
      <c r="AH44" s="1"/>
      <c r="AI44" s="1"/>
      <c r="AJ44" s="1" t="str">
        <f t="shared" si="5"/>
        <v>Customisation Budget: under 500</v>
      </c>
      <c r="AK44" s="1" t="str">
        <f t="shared" si="6"/>
        <v>Personalisation Budget: 0</v>
      </c>
      <c r="AL44" s="1">
        <v>1</v>
      </c>
      <c r="AM44" s="1"/>
      <c r="AN44" s="1"/>
      <c r="AO44" s="1"/>
      <c r="AP44" s="1">
        <v>1</v>
      </c>
      <c r="AQ44" s="1"/>
      <c r="AR44" s="1"/>
      <c r="AS44" s="1">
        <v>1</v>
      </c>
      <c r="AT44" s="1"/>
      <c r="AU44" s="1"/>
      <c r="AV44" s="1">
        <v>1</v>
      </c>
      <c r="AW44" s="1"/>
      <c r="AX44" s="1"/>
      <c r="AY44" s="1" t="str">
        <f t="shared" si="7"/>
        <v>Customisation likelihood: Very likely</v>
      </c>
      <c r="AZ44" s="1" t="str">
        <f t="shared" si="8"/>
        <v>Interest in personalising car components: Yes</v>
      </c>
      <c r="BA44" s="1" t="str">
        <f t="shared" si="9"/>
        <v>3D design experience: No, I would need a designer to model my sketch</v>
      </c>
      <c r="BB44" s="21"/>
      <c r="BC44" s="21">
        <v>1</v>
      </c>
      <c r="BD44" s="21"/>
      <c r="BE44" s="21"/>
      <c r="BF44" s="21"/>
      <c r="BG44" s="21"/>
      <c r="BH44" s="21"/>
      <c r="BI44" s="21"/>
      <c r="BJ44" s="21">
        <v>1</v>
      </c>
      <c r="BK44" s="21"/>
      <c r="BL44" s="21">
        <v>1</v>
      </c>
      <c r="BM44" s="21"/>
      <c r="BN44" s="21"/>
      <c r="BO44" s="21">
        <v>1</v>
      </c>
      <c r="BP44" s="21"/>
      <c r="BQ44" s="21">
        <v>1</v>
      </c>
      <c r="BR44" s="21"/>
    </row>
    <row r="45" spans="1:70" s="6" customFormat="1" ht="40" customHeight="1" thickBot="1" x14ac:dyDescent="0.35">
      <c r="A45" s="5" t="s">
        <v>0</v>
      </c>
      <c r="B45" s="5" t="s">
        <v>17</v>
      </c>
      <c r="C45" s="5" t="s">
        <v>44</v>
      </c>
      <c r="D45" s="5" t="s">
        <v>45</v>
      </c>
      <c r="E45" s="5" t="s">
        <v>100</v>
      </c>
      <c r="F45" s="5" t="s">
        <v>5</v>
      </c>
      <c r="G45" s="5" t="s">
        <v>21</v>
      </c>
      <c r="H45" s="5" t="s">
        <v>80</v>
      </c>
      <c r="I45" s="5" t="s">
        <v>7</v>
      </c>
      <c r="J45" s="5" t="s">
        <v>36</v>
      </c>
      <c r="K45" s="5" t="s">
        <v>21</v>
      </c>
      <c r="L45" s="5" t="s">
        <v>11</v>
      </c>
      <c r="M45" s="12"/>
      <c r="N45" s="5">
        <v>1</v>
      </c>
      <c r="O45" s="5">
        <v>1</v>
      </c>
      <c r="P45" s="5"/>
      <c r="Q45" s="5"/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/>
      <c r="Z45" s="5"/>
      <c r="AA45" s="5"/>
      <c r="AB45" s="5"/>
      <c r="AC45" s="5"/>
      <c r="AD45" s="5">
        <v>1</v>
      </c>
      <c r="AE45" s="5"/>
      <c r="AF45" s="5"/>
      <c r="AG45" s="5"/>
      <c r="AH45" s="5"/>
      <c r="AI45" s="5"/>
      <c r="AJ45" s="5" t="str">
        <f t="shared" si="5"/>
        <v>Customisation Budget: under 500</v>
      </c>
      <c r="AK45" s="5" t="str">
        <f t="shared" si="6"/>
        <v>Personalisation Budget: under 500</v>
      </c>
      <c r="AL45" s="5">
        <v>1</v>
      </c>
      <c r="AM45" s="5"/>
      <c r="AN45" s="5"/>
      <c r="AO45" s="5"/>
      <c r="AP45" s="5"/>
      <c r="AQ45" s="5">
        <v>1</v>
      </c>
      <c r="AR45" s="5"/>
      <c r="AS45" s="5"/>
      <c r="AT45" s="5"/>
      <c r="AU45" s="5">
        <v>1</v>
      </c>
      <c r="AV45" s="5"/>
      <c r="AW45" s="5">
        <v>1</v>
      </c>
      <c r="AX45" s="5"/>
      <c r="AY45" s="5" t="str">
        <f t="shared" si="7"/>
        <v>Customisation likelihood: Very likely</v>
      </c>
      <c r="AZ45" s="5" t="str">
        <f t="shared" si="8"/>
        <v>Interest in personalising car components: No</v>
      </c>
      <c r="BA45" s="5" t="str">
        <f t="shared" si="9"/>
        <v>3D design experience: No, I would need a designer to model my sketch</v>
      </c>
      <c r="BB45" s="5"/>
      <c r="BC45" s="5">
        <v>1</v>
      </c>
      <c r="BD45" s="5"/>
      <c r="BE45" s="5"/>
      <c r="BF45" s="5"/>
      <c r="BG45" s="5"/>
      <c r="BH45" s="5">
        <v>1</v>
      </c>
      <c r="BI45" s="5"/>
      <c r="BJ45" s="5"/>
      <c r="BK45" s="5"/>
      <c r="BL45" s="5">
        <v>1</v>
      </c>
      <c r="BM45" s="5"/>
      <c r="BN45" s="5"/>
      <c r="BO45" s="5"/>
      <c r="BP45" s="5">
        <v>1</v>
      </c>
      <c r="BQ45" s="5">
        <v>1</v>
      </c>
      <c r="BR45" s="5"/>
    </row>
    <row r="46" spans="1:70" s="2" customFormat="1" ht="40" customHeight="1" thickBot="1" x14ac:dyDescent="0.35">
      <c r="A46" s="1" t="s">
        <v>0</v>
      </c>
      <c r="B46" s="1" t="s">
        <v>17</v>
      </c>
      <c r="C46" s="1" t="s">
        <v>2</v>
      </c>
      <c r="D46" s="1" t="s">
        <v>3</v>
      </c>
      <c r="E46" s="1" t="s">
        <v>111</v>
      </c>
      <c r="F46" s="1" t="s">
        <v>5</v>
      </c>
      <c r="G46" s="1" t="s">
        <v>10</v>
      </c>
      <c r="H46" s="1" t="s">
        <v>14</v>
      </c>
      <c r="I46" s="1" t="s">
        <v>75</v>
      </c>
      <c r="J46" s="1" t="s">
        <v>9</v>
      </c>
      <c r="K46" s="1" t="s">
        <v>21</v>
      </c>
      <c r="L46" s="1" t="s">
        <v>25</v>
      </c>
      <c r="M46" s="10" t="s">
        <v>112</v>
      </c>
      <c r="N46" s="1">
        <v>1</v>
      </c>
      <c r="O46" s="1">
        <v>1</v>
      </c>
      <c r="P46" s="1">
        <v>1</v>
      </c>
      <c r="Q46" s="1"/>
      <c r="R46" s="1">
        <v>1</v>
      </c>
      <c r="S46" s="1">
        <v>1</v>
      </c>
      <c r="T46" s="1"/>
      <c r="U46" s="1">
        <v>1</v>
      </c>
      <c r="V46" s="1"/>
      <c r="W46" s="1">
        <v>1</v>
      </c>
      <c r="X46" s="1"/>
      <c r="Y46" s="1"/>
      <c r="Z46" s="1"/>
      <c r="AA46" s="1"/>
      <c r="AB46" s="1"/>
      <c r="AC46" s="1"/>
      <c r="AD46" s="1"/>
      <c r="AE46" s="1">
        <v>1</v>
      </c>
      <c r="AF46" s="1"/>
      <c r="AG46" s="1">
        <v>1</v>
      </c>
      <c r="AH46" s="1"/>
      <c r="AI46" s="1"/>
      <c r="AJ46" s="1" t="str">
        <f t="shared" si="5"/>
        <v>Customisation Budget: 500-1000</v>
      </c>
      <c r="AK46" s="1" t="str">
        <f t="shared" si="6"/>
        <v>Personalisation Budget: under 500</v>
      </c>
      <c r="AL46" s="1">
        <v>1</v>
      </c>
      <c r="AM46" s="1"/>
      <c r="AN46" s="1"/>
      <c r="AO46" s="1"/>
      <c r="AP46" s="1"/>
      <c r="AQ46" s="1">
        <v>1</v>
      </c>
      <c r="AR46" s="1"/>
      <c r="AS46" s="1">
        <v>1</v>
      </c>
      <c r="AT46" s="1"/>
      <c r="AU46" s="1"/>
      <c r="AV46" s="1">
        <v>1</v>
      </c>
      <c r="AW46" s="1"/>
      <c r="AX46" s="1"/>
      <c r="AY46" s="1" t="str">
        <f t="shared" si="7"/>
        <v>Customisation likelihood: Very likely</v>
      </c>
      <c r="AZ46" s="1" t="str">
        <f t="shared" si="8"/>
        <v>Interest in personalising car components: Only with professional help</v>
      </c>
      <c r="BA46" s="1" t="str">
        <f t="shared" si="9"/>
        <v>3D design experience: Yes, I can design on my own</v>
      </c>
      <c r="BB46" s="21"/>
      <c r="BC46" s="21"/>
      <c r="BD46" s="21">
        <v>1</v>
      </c>
      <c r="BE46" s="21"/>
      <c r="BF46" s="21"/>
      <c r="BG46" s="21"/>
      <c r="BH46" s="21">
        <v>1</v>
      </c>
      <c r="BI46" s="21"/>
      <c r="BJ46" s="21"/>
      <c r="BK46" s="21"/>
      <c r="BL46" s="21">
        <v>1</v>
      </c>
      <c r="BM46" s="21"/>
      <c r="BN46" s="21">
        <v>1</v>
      </c>
      <c r="BO46" s="21"/>
      <c r="BP46" s="21"/>
      <c r="BQ46" s="21"/>
      <c r="BR46" s="21">
        <v>1</v>
      </c>
    </row>
    <row r="47" spans="1:70" s="6" customFormat="1" ht="40" customHeight="1" thickBot="1" x14ac:dyDescent="0.35">
      <c r="A47" s="5" t="s">
        <v>0</v>
      </c>
      <c r="B47" s="5" t="s">
        <v>1</v>
      </c>
      <c r="C47" s="5" t="s">
        <v>2</v>
      </c>
      <c r="D47" s="5" t="s">
        <v>3</v>
      </c>
      <c r="E47" s="5" t="s">
        <v>113</v>
      </c>
      <c r="F47" s="5" t="s">
        <v>5</v>
      </c>
      <c r="G47" s="5" t="s">
        <v>13</v>
      </c>
      <c r="H47" s="5" t="s">
        <v>32</v>
      </c>
      <c r="I47" s="5" t="s">
        <v>24</v>
      </c>
      <c r="J47" s="5" t="s">
        <v>16</v>
      </c>
      <c r="K47" s="5" t="s">
        <v>10</v>
      </c>
      <c r="L47" s="5" t="s">
        <v>11</v>
      </c>
      <c r="M47" s="12"/>
      <c r="N47" s="5">
        <v>1</v>
      </c>
      <c r="O47" s="5"/>
      <c r="P47" s="5"/>
      <c r="Q47" s="5"/>
      <c r="R47" s="5">
        <v>1</v>
      </c>
      <c r="S47" s="5"/>
      <c r="T47" s="5">
        <v>1</v>
      </c>
      <c r="U47" s="5"/>
      <c r="V47" s="5"/>
      <c r="W47" s="5">
        <v>1</v>
      </c>
      <c r="X47" s="5">
        <v>1</v>
      </c>
      <c r="Y47" s="5"/>
      <c r="Z47" s="5"/>
      <c r="AA47" s="5"/>
      <c r="AB47" s="5"/>
      <c r="AC47" s="5"/>
      <c r="AD47" s="5"/>
      <c r="AE47" s="5">
        <v>1</v>
      </c>
      <c r="AF47" s="5">
        <v>1</v>
      </c>
      <c r="AG47" s="5"/>
      <c r="AH47" s="5"/>
      <c r="AI47" s="5"/>
      <c r="AJ47" s="5" t="str">
        <f t="shared" si="5"/>
        <v>Customisation Budget: over 1000</v>
      </c>
      <c r="AK47" s="5" t="str">
        <f t="shared" si="6"/>
        <v>Personalisation Budget: 500-1000</v>
      </c>
      <c r="AL47" s="5">
        <v>1</v>
      </c>
      <c r="AM47" s="5"/>
      <c r="AN47" s="5"/>
      <c r="AO47" s="5"/>
      <c r="AP47" s="5">
        <v>1</v>
      </c>
      <c r="AQ47" s="5"/>
      <c r="AR47" s="5"/>
      <c r="AS47" s="5">
        <v>1</v>
      </c>
      <c r="AT47" s="5"/>
      <c r="AU47" s="5"/>
      <c r="AV47" s="5">
        <v>1</v>
      </c>
      <c r="AW47" s="5"/>
      <c r="AX47" s="5"/>
      <c r="AY47" s="5" t="str">
        <f t="shared" si="7"/>
        <v>Customisation likelihood: Very likely</v>
      </c>
      <c r="AZ47" s="5" t="str">
        <f t="shared" si="8"/>
        <v>Interest in personalising car components: Yes</v>
      </c>
      <c r="BA47" s="5" t="str">
        <f t="shared" si="9"/>
        <v>3D design experience: No, I would need a designer to model my sketch</v>
      </c>
      <c r="BB47" s="5"/>
      <c r="BC47" s="5"/>
      <c r="BD47" s="5"/>
      <c r="BE47" s="5">
        <v>1</v>
      </c>
      <c r="BF47" s="5"/>
      <c r="BG47" s="5">
        <v>1</v>
      </c>
      <c r="BH47" s="5"/>
      <c r="BI47" s="5"/>
      <c r="BJ47" s="5"/>
      <c r="BK47" s="5"/>
      <c r="BL47" s="5">
        <v>1</v>
      </c>
      <c r="BM47" s="5"/>
      <c r="BN47" s="5"/>
      <c r="BO47" s="5">
        <v>1</v>
      </c>
      <c r="BP47" s="5"/>
      <c r="BQ47" s="5">
        <v>1</v>
      </c>
      <c r="BR47" s="5"/>
    </row>
    <row r="48" spans="1:70" s="2" customFormat="1" ht="40" customHeight="1" thickBot="1" x14ac:dyDescent="0.35">
      <c r="A48" s="1" t="s">
        <v>0</v>
      </c>
      <c r="B48" s="1" t="s">
        <v>17</v>
      </c>
      <c r="C48" s="1" t="s">
        <v>2</v>
      </c>
      <c r="D48" s="1" t="s">
        <v>45</v>
      </c>
      <c r="E48" s="1" t="s">
        <v>114</v>
      </c>
      <c r="F48" s="1" t="s">
        <v>5</v>
      </c>
      <c r="G48" s="1">
        <v>0</v>
      </c>
      <c r="H48" s="1" t="s">
        <v>61</v>
      </c>
      <c r="I48" s="1" t="s">
        <v>12</v>
      </c>
      <c r="J48" s="1" t="s">
        <v>9</v>
      </c>
      <c r="K48" s="1" t="s">
        <v>10</v>
      </c>
      <c r="L48" s="1" t="s">
        <v>11</v>
      </c>
      <c r="M48" s="10"/>
      <c r="N48" s="1">
        <v>1</v>
      </c>
      <c r="O48" s="1"/>
      <c r="P48" s="1"/>
      <c r="Q48" s="1">
        <v>1</v>
      </c>
      <c r="R48" s="1"/>
      <c r="S48" s="1">
        <v>1</v>
      </c>
      <c r="T48" s="1">
        <v>1</v>
      </c>
      <c r="U48" s="1">
        <v>1</v>
      </c>
      <c r="V48" s="1">
        <v>1</v>
      </c>
      <c r="W48" s="1"/>
      <c r="X48" s="1"/>
      <c r="Y48" s="1"/>
      <c r="Z48" s="1">
        <v>1</v>
      </c>
      <c r="AA48" s="1"/>
      <c r="AB48" s="1"/>
      <c r="AC48" s="1"/>
      <c r="AD48" s="1">
        <v>1</v>
      </c>
      <c r="AE48" s="1"/>
      <c r="AF48" s="1">
        <v>1</v>
      </c>
      <c r="AG48" s="1">
        <v>1</v>
      </c>
      <c r="AH48" s="1"/>
      <c r="AI48" s="1"/>
      <c r="AJ48" s="1" t="str">
        <f t="shared" si="5"/>
        <v>Customisation Budget: 0</v>
      </c>
      <c r="AK48" s="1" t="str">
        <f t="shared" si="6"/>
        <v>Personalisation Budget: 500-1000</v>
      </c>
      <c r="AL48" s="1">
        <v>1</v>
      </c>
      <c r="AM48" s="1"/>
      <c r="AN48" s="1"/>
      <c r="AO48" s="1"/>
      <c r="AP48" s="1"/>
      <c r="AQ48" s="1">
        <v>1</v>
      </c>
      <c r="AR48" s="1"/>
      <c r="AS48" s="1">
        <v>1</v>
      </c>
      <c r="AT48" s="1"/>
      <c r="AU48" s="1"/>
      <c r="AV48" s="1"/>
      <c r="AW48" s="1">
        <v>1</v>
      </c>
      <c r="AX48" s="1"/>
      <c r="AY48" s="1" t="str">
        <f t="shared" si="7"/>
        <v>Customisation likelihood: Very likely</v>
      </c>
      <c r="AZ48" s="1" t="str">
        <f t="shared" si="8"/>
        <v>Interest in personalising car components: Only with professional help</v>
      </c>
      <c r="BA48" s="1" t="str">
        <f t="shared" si="9"/>
        <v>3D design experience: No, I would need a designer to model my sketch</v>
      </c>
      <c r="BB48" s="21"/>
      <c r="BC48" s="21"/>
      <c r="BD48" s="21"/>
      <c r="BE48" s="21"/>
      <c r="BF48" s="21">
        <v>1</v>
      </c>
      <c r="BG48" s="21">
        <v>1</v>
      </c>
      <c r="BH48" s="21"/>
      <c r="BI48" s="21"/>
      <c r="BJ48" s="21"/>
      <c r="BK48" s="21"/>
      <c r="BL48" s="21">
        <v>1</v>
      </c>
      <c r="BM48" s="21"/>
      <c r="BN48" s="21">
        <v>1</v>
      </c>
      <c r="BO48" s="21"/>
      <c r="BP48" s="21"/>
      <c r="BQ48" s="21">
        <v>1</v>
      </c>
      <c r="BR48" s="21"/>
    </row>
    <row r="49" spans="1:70" s="6" customFormat="1" ht="40" customHeight="1" thickBot="1" x14ac:dyDescent="0.35">
      <c r="A49" s="5" t="s">
        <v>57</v>
      </c>
      <c r="B49" s="5" t="s">
        <v>1</v>
      </c>
      <c r="C49" s="5" t="s">
        <v>2</v>
      </c>
      <c r="D49" s="5" t="s">
        <v>79</v>
      </c>
      <c r="E49" s="5" t="s">
        <v>38</v>
      </c>
      <c r="F49" s="5" t="s">
        <v>5</v>
      </c>
      <c r="G49" s="5" t="s">
        <v>10</v>
      </c>
      <c r="H49" s="5" t="s">
        <v>14</v>
      </c>
      <c r="I49" s="5" t="s">
        <v>60</v>
      </c>
      <c r="J49" s="5" t="s">
        <v>16</v>
      </c>
      <c r="K49" s="5" t="s">
        <v>10</v>
      </c>
      <c r="L49" s="5" t="s">
        <v>25</v>
      </c>
      <c r="M49" s="12" t="s">
        <v>115</v>
      </c>
      <c r="N49" s="5">
        <v>1</v>
      </c>
      <c r="O49" s="5">
        <v>1</v>
      </c>
      <c r="P49" s="5">
        <v>1</v>
      </c>
      <c r="Q49" s="5"/>
      <c r="R49" s="5">
        <v>1</v>
      </c>
      <c r="S49" s="5">
        <v>1</v>
      </c>
      <c r="T49" s="5">
        <v>1</v>
      </c>
      <c r="U49" s="5"/>
      <c r="V49" s="5"/>
      <c r="W49" s="5">
        <v>1</v>
      </c>
      <c r="X49" s="5"/>
      <c r="Y49" s="5"/>
      <c r="Z49" s="5"/>
      <c r="AA49" s="5"/>
      <c r="AB49" s="5"/>
      <c r="AC49" s="5"/>
      <c r="AD49" s="5"/>
      <c r="AE49" s="5"/>
      <c r="AF49" s="5">
        <v>1</v>
      </c>
      <c r="AG49" s="5"/>
      <c r="AH49" s="5"/>
      <c r="AI49" s="5"/>
      <c r="AJ49" s="5" t="str">
        <f t="shared" si="5"/>
        <v>Customisation Budget: 500-1000</v>
      </c>
      <c r="AK49" s="5" t="str">
        <f t="shared" si="6"/>
        <v>Personalisation Budget: 500-1000</v>
      </c>
      <c r="AL49" s="5"/>
      <c r="AM49" s="5"/>
      <c r="AN49" s="5"/>
      <c r="AO49" s="5">
        <v>1</v>
      </c>
      <c r="AP49" s="5">
        <v>1</v>
      </c>
      <c r="AQ49" s="5"/>
      <c r="AR49" s="5"/>
      <c r="AS49" s="5">
        <v>1</v>
      </c>
      <c r="AT49" s="5"/>
      <c r="AU49" s="5"/>
      <c r="AV49" s="5"/>
      <c r="AW49" s="5"/>
      <c r="AX49" s="5">
        <v>1</v>
      </c>
      <c r="AY49" s="5" t="str">
        <f t="shared" si="7"/>
        <v>Customisation likelihood: Very likely</v>
      </c>
      <c r="AZ49" s="5" t="str">
        <f t="shared" si="8"/>
        <v>Interest in personalising car components: Yes</v>
      </c>
      <c r="BA49" s="5" t="str">
        <f t="shared" si="9"/>
        <v>3D design experience: Yes, I can design on my own</v>
      </c>
      <c r="BB49" s="5"/>
      <c r="BC49" s="5"/>
      <c r="BD49" s="5">
        <v>1</v>
      </c>
      <c r="BE49" s="5"/>
      <c r="BF49" s="5"/>
      <c r="BG49" s="5">
        <v>1</v>
      </c>
      <c r="BH49" s="5"/>
      <c r="BI49" s="5"/>
      <c r="BJ49" s="5"/>
      <c r="BK49" s="5"/>
      <c r="BL49" s="5">
        <v>1</v>
      </c>
      <c r="BM49" s="5"/>
      <c r="BN49" s="5"/>
      <c r="BO49" s="5">
        <v>1</v>
      </c>
      <c r="BP49" s="5"/>
      <c r="BQ49" s="5"/>
      <c r="BR49" s="5">
        <v>1</v>
      </c>
    </row>
    <row r="50" spans="1:70" s="8" customFormat="1" ht="40" customHeight="1" thickBot="1" x14ac:dyDescent="0.35">
      <c r="A50" s="7" t="s">
        <v>57</v>
      </c>
      <c r="B50" s="7" t="s">
        <v>1</v>
      </c>
      <c r="C50" s="7" t="s">
        <v>44</v>
      </c>
      <c r="D50" s="7" t="s">
        <v>45</v>
      </c>
      <c r="E50" s="7" t="s">
        <v>116</v>
      </c>
      <c r="F50" s="7" t="s">
        <v>5</v>
      </c>
      <c r="G50" s="7" t="s">
        <v>13</v>
      </c>
      <c r="H50" s="7" t="s">
        <v>39</v>
      </c>
      <c r="I50" s="7" t="s">
        <v>60</v>
      </c>
      <c r="J50" s="7" t="s">
        <v>16</v>
      </c>
      <c r="K50" s="7" t="s">
        <v>10</v>
      </c>
      <c r="L50" s="7" t="s">
        <v>25</v>
      </c>
      <c r="M50" s="13"/>
      <c r="N50" s="1">
        <v>1</v>
      </c>
      <c r="O50" s="1">
        <v>1</v>
      </c>
      <c r="P50" s="1"/>
      <c r="Q50" s="1">
        <v>1</v>
      </c>
      <c r="R50" s="1"/>
      <c r="S50" s="1"/>
      <c r="T50" s="1">
        <v>1</v>
      </c>
      <c r="U50" s="1">
        <v>1</v>
      </c>
      <c r="V50" s="1"/>
      <c r="W50" s="1">
        <v>1</v>
      </c>
      <c r="X50" s="1"/>
      <c r="Y50" s="1"/>
      <c r="Z50" s="1">
        <v>1</v>
      </c>
      <c r="AA50" s="1"/>
      <c r="AB50" s="1"/>
      <c r="AC50" s="1"/>
      <c r="AD50" s="1"/>
      <c r="AE50" s="1"/>
      <c r="AF50" s="1">
        <v>1</v>
      </c>
      <c r="AG50" s="1"/>
      <c r="AH50" s="1"/>
      <c r="AI50" s="1"/>
      <c r="AJ50" s="1" t="str">
        <f t="shared" si="5"/>
        <v>Customisation Budget: over 1000</v>
      </c>
      <c r="AK50" s="1" t="str">
        <f t="shared" si="6"/>
        <v>Personalisation Budget: 500-1000</v>
      </c>
      <c r="AL50" s="1"/>
      <c r="AM50" s="1"/>
      <c r="AN50" s="1"/>
      <c r="AO50" s="1">
        <v>1</v>
      </c>
      <c r="AP50" s="1">
        <v>1</v>
      </c>
      <c r="AQ50" s="1"/>
      <c r="AR50" s="1"/>
      <c r="AS50" s="1"/>
      <c r="AT50" s="1"/>
      <c r="AU50" s="1">
        <v>1</v>
      </c>
      <c r="AV50" s="1"/>
      <c r="AW50" s="1">
        <v>1</v>
      </c>
      <c r="AX50" s="1"/>
      <c r="AY50" s="1" t="str">
        <f t="shared" si="7"/>
        <v>Customisation likelihood: Very likely</v>
      </c>
      <c r="AZ50" s="1" t="str">
        <f t="shared" si="8"/>
        <v>Interest in personalising car components: Yes</v>
      </c>
      <c r="BA50" s="1" t="str">
        <f t="shared" si="9"/>
        <v>3D design experience: Yes, I can design on my own</v>
      </c>
      <c r="BB50" s="21"/>
      <c r="BC50" s="21"/>
      <c r="BD50" s="21"/>
      <c r="BE50" s="21">
        <v>1</v>
      </c>
      <c r="BF50" s="21"/>
      <c r="BG50" s="21">
        <v>1</v>
      </c>
      <c r="BH50" s="21"/>
      <c r="BI50" s="21"/>
      <c r="BJ50" s="21"/>
      <c r="BK50" s="21"/>
      <c r="BL50" s="21">
        <v>1</v>
      </c>
      <c r="BM50" s="21"/>
      <c r="BN50" s="21"/>
      <c r="BO50" s="21">
        <v>1</v>
      </c>
      <c r="BP50" s="21"/>
      <c r="BQ50" s="21"/>
      <c r="BR50" s="21">
        <v>1</v>
      </c>
    </row>
    <row r="51" spans="1:70" s="9" customFormat="1" ht="26.5" thickBot="1" x14ac:dyDescent="0.35">
      <c r="A51" s="14" t="s">
        <v>0</v>
      </c>
      <c r="B51" s="14" t="s">
        <v>1</v>
      </c>
      <c r="C51" s="14" t="s">
        <v>2</v>
      </c>
      <c r="D51" s="14" t="s">
        <v>3</v>
      </c>
      <c r="E51" s="14" t="s">
        <v>96</v>
      </c>
      <c r="F51" s="14" t="s">
        <v>19</v>
      </c>
      <c r="G51" s="14" t="s">
        <v>10</v>
      </c>
      <c r="H51" s="14" t="s">
        <v>52</v>
      </c>
      <c r="I51" s="14" t="s">
        <v>15</v>
      </c>
      <c r="J51" s="14" t="s">
        <v>16</v>
      </c>
      <c r="K51" s="14" t="s">
        <v>13</v>
      </c>
      <c r="L51" s="14" t="s">
        <v>11</v>
      </c>
      <c r="M51" s="15" t="s">
        <v>117</v>
      </c>
      <c r="N51" s="20">
        <v>1</v>
      </c>
      <c r="O51" s="20"/>
      <c r="P51" s="20">
        <v>1</v>
      </c>
      <c r="Q51" s="20"/>
      <c r="R51" s="20">
        <v>1</v>
      </c>
      <c r="S51" s="20"/>
      <c r="T51" s="20">
        <v>1</v>
      </c>
      <c r="U51" s="20"/>
      <c r="V51" s="20"/>
      <c r="W51" s="20">
        <v>1</v>
      </c>
      <c r="X51" s="20">
        <v>1</v>
      </c>
      <c r="Y51" s="20">
        <v>1</v>
      </c>
      <c r="Z51" s="20"/>
      <c r="AA51" s="20"/>
      <c r="AB51" s="20"/>
      <c r="AC51" s="20"/>
      <c r="AD51" s="20">
        <v>1</v>
      </c>
      <c r="AE51" s="20">
        <v>1</v>
      </c>
      <c r="AF51" s="20">
        <v>1</v>
      </c>
      <c r="AG51" s="20">
        <v>1</v>
      </c>
      <c r="AH51" s="20"/>
      <c r="AI51" s="20"/>
      <c r="AJ51" s="20" t="str">
        <f t="shared" si="5"/>
        <v>Customisation Budget: 500-1000</v>
      </c>
      <c r="AK51" s="20" t="str">
        <f t="shared" si="6"/>
        <v>Personalisation Budget: over 1000</v>
      </c>
      <c r="AL51" s="20">
        <v>1</v>
      </c>
      <c r="AM51" s="20"/>
      <c r="AN51" s="20"/>
      <c r="AO51" s="20"/>
      <c r="AP51" s="20">
        <v>1</v>
      </c>
      <c r="AQ51" s="20"/>
      <c r="AR51" s="20"/>
      <c r="AS51" s="20">
        <v>1</v>
      </c>
      <c r="AT51" s="20"/>
      <c r="AU51" s="20"/>
      <c r="AV51" s="20">
        <v>1</v>
      </c>
      <c r="AW51" s="20"/>
      <c r="AX51" s="20"/>
      <c r="AY51" s="20" t="str">
        <f t="shared" si="7"/>
        <v>Customisation likelihood: Likely</v>
      </c>
      <c r="AZ51" s="20" t="str">
        <f t="shared" si="8"/>
        <v>Interest in personalising car components: Yes</v>
      </c>
      <c r="BA51" s="20" t="str">
        <f t="shared" si="9"/>
        <v>3D design experience: No, I would need a designer to model my sketch</v>
      </c>
      <c r="BB51" s="20"/>
      <c r="BC51" s="20"/>
      <c r="BD51" s="20">
        <v>1</v>
      </c>
      <c r="BE51" s="20"/>
      <c r="BF51" s="20"/>
      <c r="BG51" s="20"/>
      <c r="BH51" s="20"/>
      <c r="BI51" s="20">
        <v>1</v>
      </c>
      <c r="BJ51" s="20"/>
      <c r="BK51" s="20">
        <v>1</v>
      </c>
      <c r="BL51" s="20"/>
      <c r="BM51" s="20"/>
      <c r="BN51" s="20"/>
      <c r="BO51" s="20">
        <v>1</v>
      </c>
      <c r="BP51" s="20"/>
      <c r="BQ51" s="20">
        <v>1</v>
      </c>
      <c r="BR51" s="20"/>
    </row>
  </sheetData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Customer preference in car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eunseo han</dc:creator>
  <cp:lastModifiedBy>Remon Geo</cp:lastModifiedBy>
  <dcterms:created xsi:type="dcterms:W3CDTF">2021-10-12T06:34:06Z</dcterms:created>
  <dcterms:modified xsi:type="dcterms:W3CDTF">2024-02-02T14:10:24Z</dcterms:modified>
</cp:coreProperties>
</file>